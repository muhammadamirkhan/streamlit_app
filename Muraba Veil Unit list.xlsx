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 Khan\Dropbox\Upwork\Muraba Properties\"/>
    </mc:Choice>
  </mc:AlternateContent>
  <xr:revisionPtr revIDLastSave="0" documentId="13_ncr:1_{B0E3D339-19AF-4E0E-B104-4B9405F8F520}" xr6:coauthVersionLast="47" xr6:coauthVersionMax="47" xr10:uidLastSave="{00000000-0000-0000-0000-000000000000}"/>
  <bookViews>
    <workbookView xWindow="-110" yWindow="-110" windowWidth="25820" windowHeight="13900" activeTab="4" xr2:uid="{CC195FA0-1BBA-4EFF-8247-CB2B83C129E8}"/>
  </bookViews>
  <sheets>
    <sheet name="Muraba Veil Sale Summary" sheetId="4" r:id="rId1"/>
    <sheet name="Muraba Unit Wise Details " sheetId="1" r:id="rId2"/>
    <sheet name="Building  Usman" sheetId="5" state="hidden" r:id="rId3"/>
    <sheet name="Launches Residences" sheetId="2" r:id="rId4"/>
    <sheet name="Launches   XL   SX   DX" sheetId="3" r:id="rId5"/>
    <sheet name="MV Building view" sheetId="7" r:id="rId6"/>
  </sheets>
  <externalReferences>
    <externalReference r:id="rId7"/>
    <externalReference r:id="rId8"/>
  </externalReferences>
  <definedNames>
    <definedName name="_xlnm._FilterDatabase" localSheetId="2" hidden="1">'Building  Usman'!$C$2:$F$81</definedName>
    <definedName name="_xlnm._FilterDatabase" localSheetId="1" hidden="1">'Muraba Unit Wise Details '!$V$2:$Y$146</definedName>
    <definedName name="_xlnm._FilterDatabase" localSheetId="5" hidden="1">'MV Building view'!$C$2:$F$81</definedName>
    <definedName name="CIQWBGuid" hidden="1">"02726d39-47a5-4a81-8b80-99ede2d0c482"</definedName>
    <definedName name="_xlnm.Print_Area" localSheetId="2">'Building  Usman'!$A$1:$L$77</definedName>
    <definedName name="_xlnm.Print_Area" localSheetId="5">'MV Building view'!$A$1:$R$77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2" l="1"/>
  <c r="J32" i="2"/>
  <c r="A33" i="2" s="1"/>
  <c r="K5" i="1"/>
  <c r="K4" i="1"/>
  <c r="J28" i="2"/>
  <c r="R28" i="2" s="1"/>
  <c r="H42" i="2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A71" i="2"/>
  <c r="A70" i="2"/>
  <c r="A69" i="2"/>
  <c r="A68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1" i="2"/>
  <c r="A30" i="2"/>
  <c r="A27" i="2"/>
  <c r="A26" i="2"/>
  <c r="A25" i="2"/>
  <c r="A24" i="2"/>
  <c r="A23" i="2"/>
  <c r="A22" i="2"/>
  <c r="A21" i="2"/>
  <c r="A20" i="2"/>
  <c r="A19" i="2"/>
  <c r="A18" i="2"/>
  <c r="A17" i="2"/>
  <c r="A16" i="2"/>
  <c r="T69" i="2"/>
  <c r="T68" i="2"/>
  <c r="T67" i="2"/>
  <c r="T66" i="2"/>
  <c r="T65" i="2"/>
  <c r="T64" i="2"/>
  <c r="T63" i="2"/>
  <c r="T58" i="2"/>
  <c r="T57" i="2"/>
  <c r="T47" i="2"/>
  <c r="T46" i="2"/>
  <c r="T45" i="2"/>
  <c r="T44" i="2"/>
  <c r="T43" i="2"/>
  <c r="T42" i="2"/>
  <c r="T41" i="2"/>
  <c r="T36" i="2"/>
  <c r="T35" i="2"/>
  <c r="T24" i="2"/>
  <c r="T23" i="2"/>
  <c r="T22" i="2"/>
  <c r="T21" i="2"/>
  <c r="T20" i="2"/>
  <c r="T19" i="2"/>
  <c r="T18" i="2"/>
  <c r="S71" i="2"/>
  <c r="R71" i="2"/>
  <c r="T71" i="2" s="1"/>
  <c r="S70" i="2"/>
  <c r="T70" i="2" s="1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T62" i="2" s="1"/>
  <c r="S61" i="2"/>
  <c r="R61" i="2"/>
  <c r="T61" i="2" s="1"/>
  <c r="S60" i="2"/>
  <c r="R60" i="2"/>
  <c r="T60" i="2" s="1"/>
  <c r="S59" i="2"/>
  <c r="T59" i="2" s="1"/>
  <c r="R59" i="2"/>
  <c r="S58" i="2"/>
  <c r="R58" i="2"/>
  <c r="S57" i="2"/>
  <c r="R57" i="2"/>
  <c r="S56" i="2"/>
  <c r="R56" i="2"/>
  <c r="T56" i="2" s="1"/>
  <c r="S55" i="2"/>
  <c r="R55" i="2"/>
  <c r="T55" i="2" s="1"/>
  <c r="S54" i="2"/>
  <c r="R54" i="2"/>
  <c r="T54" i="2" s="1"/>
  <c r="S53" i="2"/>
  <c r="R53" i="2"/>
  <c r="T53" i="2" s="1"/>
  <c r="S52" i="2"/>
  <c r="R52" i="2"/>
  <c r="T52" i="2" s="1"/>
  <c r="S51" i="2"/>
  <c r="R51" i="2"/>
  <c r="T51" i="2" s="1"/>
  <c r="S50" i="2"/>
  <c r="R50" i="2"/>
  <c r="T50" i="2" s="1"/>
  <c r="S49" i="2"/>
  <c r="R49" i="2"/>
  <c r="T49" i="2" s="1"/>
  <c r="S48" i="2"/>
  <c r="T48" i="2" s="1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T40" i="2" s="1"/>
  <c r="S39" i="2"/>
  <c r="R39" i="2"/>
  <c r="T39" i="2" s="1"/>
  <c r="S38" i="2"/>
  <c r="R38" i="2"/>
  <c r="T38" i="2" s="1"/>
  <c r="S37" i="2"/>
  <c r="T37" i="2" s="1"/>
  <c r="R37" i="2"/>
  <c r="S36" i="2"/>
  <c r="R36" i="2"/>
  <c r="S35" i="2"/>
  <c r="R35" i="2"/>
  <c r="S34" i="2"/>
  <c r="R34" i="2"/>
  <c r="T34" i="2" s="1"/>
  <c r="S33" i="2"/>
  <c r="R33" i="2"/>
  <c r="T33" i="2" s="1"/>
  <c r="S32" i="2"/>
  <c r="R32" i="2"/>
  <c r="T32" i="2" s="1"/>
  <c r="S31" i="2"/>
  <c r="R31" i="2"/>
  <c r="T31" i="2" s="1"/>
  <c r="S30" i="2"/>
  <c r="R30" i="2"/>
  <c r="T30" i="2" s="1"/>
  <c r="S29" i="2"/>
  <c r="R29" i="2"/>
  <c r="T29" i="2" s="1"/>
  <c r="S27" i="2"/>
  <c r="R27" i="2"/>
  <c r="T27" i="2" s="1"/>
  <c r="S26" i="2"/>
  <c r="R26" i="2"/>
  <c r="T26" i="2" s="1"/>
  <c r="S25" i="2"/>
  <c r="T25" i="2" s="1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T17" i="2" s="1"/>
  <c r="S16" i="2"/>
  <c r="R16" i="2"/>
  <c r="T16" i="2" s="1"/>
  <c r="S15" i="2"/>
  <c r="R15" i="2"/>
  <c r="T15" i="2" s="1"/>
  <c r="M26" i="3"/>
  <c r="M25" i="3"/>
  <c r="M24" i="3"/>
  <c r="M23" i="3"/>
  <c r="M22" i="3"/>
  <c r="M21" i="3"/>
  <c r="M20" i="3"/>
  <c r="J26" i="3"/>
  <c r="J25" i="3"/>
  <c r="J24" i="3"/>
  <c r="J23" i="3"/>
  <c r="J22" i="3"/>
  <c r="J21" i="3"/>
  <c r="J20" i="3"/>
  <c r="K20" i="3"/>
  <c r="D7" i="4"/>
  <c r="E7" i="4" s="1"/>
  <c r="B7" i="4"/>
  <c r="H7" i="4" s="1"/>
  <c r="K226" i="1"/>
  <c r="M226" i="1" s="1"/>
  <c r="F51" i="3"/>
  <c r="Q14" i="7"/>
  <c r="Q48" i="7"/>
  <c r="Q29" i="7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23" i="7"/>
  <c r="M67" i="7"/>
  <c r="M61" i="7"/>
  <c r="N58" i="7"/>
  <c r="M58" i="7"/>
  <c r="M57" i="7"/>
  <c r="M50" i="7"/>
  <c r="N74" i="7"/>
  <c r="M74" i="7"/>
  <c r="M73" i="7"/>
  <c r="N72" i="7"/>
  <c r="M71" i="7"/>
  <c r="N70" i="7"/>
  <c r="M70" i="7"/>
  <c r="N75" i="7"/>
  <c r="M75" i="7"/>
  <c r="J12" i="7"/>
  <c r="I12" i="7"/>
  <c r="J17" i="7"/>
  <c r="J16" i="7" s="1"/>
  <c r="J15" i="7" s="1"/>
  <c r="J18" i="7"/>
  <c r="I17" i="7"/>
  <c r="I16" i="7"/>
  <c r="I15" i="7" s="1"/>
  <c r="I18" i="7"/>
  <c r="I19" i="7"/>
  <c r="J25" i="7"/>
  <c r="J24" i="7" s="1"/>
  <c r="J23" i="7" s="1"/>
  <c r="I25" i="7"/>
  <c r="I24" i="7" s="1"/>
  <c r="I23" i="7" s="1"/>
  <c r="H25" i="7"/>
  <c r="H24" i="7" s="1"/>
  <c r="H23" i="7" s="1"/>
  <c r="J26" i="7"/>
  <c r="H26" i="7"/>
  <c r="J27" i="7"/>
  <c r="I27" i="7"/>
  <c r="H27" i="7"/>
  <c r="I26" i="7"/>
  <c r="H43" i="7"/>
  <c r="H42" i="7" s="1"/>
  <c r="H41" i="7" s="1"/>
  <c r="H40" i="7" s="1"/>
  <c r="H39" i="7" s="1"/>
  <c r="H38" i="7" s="1"/>
  <c r="H37" i="7" s="1"/>
  <c r="H36" i="7" s="1"/>
  <c r="H35" i="7" s="1"/>
  <c r="H34" i="7" s="1"/>
  <c r="H33" i="7" s="1"/>
  <c r="H32" i="7" s="1"/>
  <c r="H31" i="7" s="1"/>
  <c r="H30" i="7" s="1"/>
  <c r="H29" i="7" s="1"/>
  <c r="H44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44" i="7"/>
  <c r="J74" i="7"/>
  <c r="I74" i="7"/>
  <c r="H74" i="7"/>
  <c r="Q49" i="7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9" i="7" s="1"/>
  <c r="Q70" i="7" s="1"/>
  <c r="Q71" i="7" s="1"/>
  <c r="Q72" i="7" s="1"/>
  <c r="Q73" i="7" s="1"/>
  <c r="Q74" i="7" s="1"/>
  <c r="Q75" i="7" s="1"/>
  <c r="J44" i="7"/>
  <c r="I44" i="7"/>
  <c r="I43" i="7" s="1"/>
  <c r="I42" i="7" s="1"/>
  <c r="I41" i="7" s="1"/>
  <c r="I40" i="7" s="1"/>
  <c r="J43" i="7"/>
  <c r="J42" i="7" s="1"/>
  <c r="Q9" i="7"/>
  <c r="L20" i="4"/>
  <c r="K225" i="1"/>
  <c r="K224" i="1"/>
  <c r="K223" i="1"/>
  <c r="E48" i="3"/>
  <c r="C27" i="3"/>
  <c r="C28" i="3"/>
  <c r="A32" i="2" l="1"/>
  <c r="A28" i="2"/>
  <c r="S28" i="2"/>
  <c r="T28" i="2" s="1"/>
  <c r="A29" i="2"/>
  <c r="I7" i="4"/>
  <c r="K7" i="4" s="1"/>
  <c r="L7" i="4" s="1"/>
  <c r="H73" i="7"/>
  <c r="I39" i="7"/>
  <c r="I73" i="7"/>
  <c r="J41" i="7"/>
  <c r="J73" i="7"/>
  <c r="C29" i="3"/>
  <c r="J7" i="4" l="1"/>
  <c r="I38" i="7"/>
  <c r="H72" i="7"/>
  <c r="I72" i="7"/>
  <c r="J72" i="7"/>
  <c r="J40" i="7"/>
  <c r="C30" i="3"/>
  <c r="I37" i="7" l="1"/>
  <c r="J71" i="7"/>
  <c r="I71" i="7"/>
  <c r="H71" i="7"/>
  <c r="J39" i="7"/>
  <c r="C31" i="3"/>
  <c r="H70" i="7" l="1"/>
  <c r="I21" i="7"/>
  <c r="I70" i="7"/>
  <c r="J70" i="7"/>
  <c r="I36" i="7"/>
  <c r="J38" i="7"/>
  <c r="C32" i="3"/>
  <c r="J37" i="7" l="1"/>
  <c r="I35" i="7"/>
  <c r="J69" i="7"/>
  <c r="I69" i="7"/>
  <c r="H69" i="7"/>
  <c r="C33" i="3"/>
  <c r="I67" i="7" l="1"/>
  <c r="J67" i="7"/>
  <c r="I34" i="7"/>
  <c r="J36" i="7"/>
  <c r="H67" i="7"/>
  <c r="H66" i="7" l="1"/>
  <c r="J35" i="7"/>
  <c r="I33" i="7"/>
  <c r="J66" i="7"/>
  <c r="I66" i="7"/>
  <c r="I65" i="7" l="1"/>
  <c r="J65" i="7"/>
  <c r="I32" i="7"/>
  <c r="J34" i="7"/>
  <c r="H65" i="7"/>
  <c r="H64" i="7" l="1"/>
  <c r="J33" i="7"/>
  <c r="I31" i="7"/>
  <c r="J64" i="7"/>
  <c r="I64" i="7"/>
  <c r="I63" i="7" l="1"/>
  <c r="J63" i="7"/>
  <c r="I30" i="7"/>
  <c r="J32" i="7"/>
  <c r="H63" i="7"/>
  <c r="H62" i="7" l="1"/>
  <c r="J31" i="7"/>
  <c r="I29" i="7"/>
  <c r="J62" i="7"/>
  <c r="I62" i="7"/>
  <c r="I61" i="7" l="1"/>
  <c r="J61" i="7"/>
  <c r="J30" i="7"/>
  <c r="H61" i="7"/>
  <c r="H60" i="7" l="1"/>
  <c r="J29" i="7"/>
  <c r="J60" i="7"/>
  <c r="I60" i="7"/>
  <c r="I59" i="7" l="1"/>
  <c r="J59" i="7"/>
  <c r="H59" i="7"/>
  <c r="H58" i="7" l="1"/>
  <c r="J58" i="7"/>
  <c r="I58" i="7"/>
  <c r="I57" i="7" l="1"/>
  <c r="J57" i="7"/>
  <c r="H57" i="7"/>
  <c r="H56" i="7" l="1"/>
  <c r="J56" i="7"/>
  <c r="I56" i="7"/>
  <c r="I55" i="7" l="1"/>
  <c r="J55" i="7"/>
  <c r="H55" i="7"/>
  <c r="H54" i="7" l="1"/>
  <c r="J54" i="7"/>
  <c r="I54" i="7"/>
  <c r="I53" i="7" l="1"/>
  <c r="J53" i="7"/>
  <c r="H53" i="7"/>
  <c r="H52" i="7" l="1"/>
  <c r="J52" i="7"/>
  <c r="I52" i="7"/>
  <c r="I51" i="7" l="1"/>
  <c r="J51" i="7"/>
  <c r="H51" i="7"/>
  <c r="H50" i="7" l="1"/>
  <c r="J50" i="7"/>
  <c r="I50" i="7"/>
  <c r="I49" i="7" l="1"/>
  <c r="J49" i="7"/>
  <c r="H49" i="7"/>
  <c r="H48" i="7" l="1"/>
  <c r="J48" i="7"/>
  <c r="I48" i="7"/>
  <c r="I174" i="1" l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82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N4" i="1" l="1"/>
  <c r="O4" i="1" s="1"/>
  <c r="N5" i="1"/>
  <c r="O5" i="1" s="1"/>
  <c r="N6" i="1"/>
  <c r="O6" i="1" s="1"/>
  <c r="N7" i="1"/>
  <c r="O7" i="1" s="1"/>
  <c r="N8" i="1"/>
  <c r="O8" i="1" s="1"/>
  <c r="N11" i="1"/>
  <c r="O11" i="1" s="1"/>
  <c r="N12" i="1"/>
  <c r="O12" i="1" s="1"/>
  <c r="N14" i="1"/>
  <c r="O14" i="1" s="1"/>
  <c r="N15" i="1"/>
  <c r="O15" i="1" s="1"/>
  <c r="N18" i="1"/>
  <c r="O18" i="1" s="1"/>
  <c r="N30" i="1"/>
  <c r="O30" i="1" s="1"/>
  <c r="N36" i="1"/>
  <c r="O36" i="1" s="1"/>
  <c r="N37" i="1"/>
  <c r="O37" i="1" s="1"/>
  <c r="N38" i="1"/>
  <c r="O38" i="1" s="1"/>
  <c r="N52" i="1"/>
  <c r="O52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N128" i="1"/>
  <c r="N129" i="1"/>
  <c r="O129" i="1" s="1"/>
  <c r="N130" i="1"/>
  <c r="O130" i="1" s="1"/>
  <c r="N131" i="1"/>
  <c r="O131" i="1" s="1"/>
  <c r="N132" i="1"/>
  <c r="N133" i="1"/>
  <c r="N134" i="1"/>
  <c r="O134" i="1" s="1"/>
  <c r="N135" i="1"/>
  <c r="N136" i="1"/>
  <c r="N137" i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223" i="1"/>
  <c r="N224" i="1"/>
  <c r="N225" i="1"/>
  <c r="N226" i="1"/>
  <c r="P64" i="2" l="1"/>
  <c r="O64" i="2"/>
  <c r="N9" i="1"/>
  <c r="N10" i="1"/>
  <c r="P65" i="2" l="1"/>
  <c r="O65" i="2"/>
  <c r="Q64" i="2"/>
  <c r="W64" i="2" s="1"/>
  <c r="I67" i="2"/>
  <c r="E67" i="2"/>
  <c r="C108" i="1" s="1"/>
  <c r="H67" i="2"/>
  <c r="F67" i="2"/>
  <c r="C109" i="1" s="1"/>
  <c r="D67" i="2"/>
  <c r="C170" i="1" s="1"/>
  <c r="N13" i="1"/>
  <c r="G170" i="1" l="1"/>
  <c r="F170" i="1"/>
  <c r="J170" i="1" s="1"/>
  <c r="A170" i="1"/>
  <c r="E170" i="1" s="1"/>
  <c r="K170" i="1"/>
  <c r="M170" i="1" s="1"/>
  <c r="D170" i="1"/>
  <c r="N170" i="1"/>
  <c r="D109" i="1"/>
  <c r="A109" i="1"/>
  <c r="E109" i="1" s="1"/>
  <c r="N109" i="1"/>
  <c r="G109" i="1"/>
  <c r="A108" i="1"/>
  <c r="G108" i="1" s="1"/>
  <c r="F108" i="1"/>
  <c r="N108" i="1"/>
  <c r="D108" i="1"/>
  <c r="E108" i="1"/>
  <c r="P67" i="2"/>
  <c r="O67" i="2"/>
  <c r="F68" i="2"/>
  <c r="C111" i="1" s="1"/>
  <c r="E68" i="2"/>
  <c r="C110" i="1" s="1"/>
  <c r="I68" i="2"/>
  <c r="D68" i="2"/>
  <c r="C171" i="1" s="1"/>
  <c r="H68" i="2"/>
  <c r="P66" i="2"/>
  <c r="O66" i="2"/>
  <c r="Q65" i="2"/>
  <c r="W65" i="2" s="1"/>
  <c r="L67" i="2"/>
  <c r="K67" i="2"/>
  <c r="N16" i="1"/>
  <c r="J108" i="1" l="1"/>
  <c r="F109" i="1"/>
  <c r="J109" i="1" s="1"/>
  <c r="H108" i="1"/>
  <c r="H170" i="1"/>
  <c r="F171" i="1"/>
  <c r="J171" i="1"/>
  <c r="G171" i="1"/>
  <c r="E171" i="1"/>
  <c r="A171" i="1"/>
  <c r="K171" i="1"/>
  <c r="D171" i="1"/>
  <c r="N171" i="1"/>
  <c r="D110" i="1"/>
  <c r="N110" i="1"/>
  <c r="A110" i="1"/>
  <c r="G110" i="1" s="1"/>
  <c r="F110" i="1"/>
  <c r="E110" i="1"/>
  <c r="J110" i="1"/>
  <c r="A111" i="1"/>
  <c r="E111" i="1" s="1"/>
  <c r="N111" i="1"/>
  <c r="D111" i="1"/>
  <c r="G111" i="1"/>
  <c r="F111" i="1"/>
  <c r="J111" i="1"/>
  <c r="Q66" i="2"/>
  <c r="W66" i="2" s="1"/>
  <c r="L68" i="2"/>
  <c r="K68" i="2"/>
  <c r="O68" i="2"/>
  <c r="P68" i="2"/>
  <c r="D69" i="2"/>
  <c r="C172" i="1" s="1"/>
  <c r="I69" i="2"/>
  <c r="H69" i="2"/>
  <c r="F69" i="2"/>
  <c r="C113" i="1" s="1"/>
  <c r="E69" i="2"/>
  <c r="C112" i="1" s="1"/>
  <c r="M67" i="2"/>
  <c r="Q67" i="2"/>
  <c r="N17" i="1"/>
  <c r="H109" i="1" l="1"/>
  <c r="H111" i="1"/>
  <c r="H110" i="1"/>
  <c r="H171" i="1"/>
  <c r="G172" i="1"/>
  <c r="F172" i="1"/>
  <c r="J172" i="1"/>
  <c r="N112" i="1"/>
  <c r="A112" i="1"/>
  <c r="G112" i="1" s="1"/>
  <c r="D112" i="1"/>
  <c r="F112" i="1"/>
  <c r="E112" i="1"/>
  <c r="J112" i="1"/>
  <c r="A113" i="1"/>
  <c r="F113" i="1" s="1"/>
  <c r="D113" i="1"/>
  <c r="N113" i="1"/>
  <c r="E113" i="1"/>
  <c r="G113" i="1"/>
  <c r="J113" i="1" s="1"/>
  <c r="E172" i="1"/>
  <c r="A172" i="1"/>
  <c r="K172" i="1"/>
  <c r="D172" i="1"/>
  <c r="N172" i="1"/>
  <c r="M68" i="2"/>
  <c r="M171" i="1"/>
  <c r="L170" i="1"/>
  <c r="Q170" i="1" s="1"/>
  <c r="K69" i="2"/>
  <c r="L69" i="2"/>
  <c r="P69" i="2"/>
  <c r="O69" i="2"/>
  <c r="F70" i="2"/>
  <c r="C115" i="1" s="1"/>
  <c r="I70" i="2"/>
  <c r="H70" i="2"/>
  <c r="E70" i="2"/>
  <c r="C114" i="1" s="1"/>
  <c r="D70" i="2"/>
  <c r="C173" i="1" s="1"/>
  <c r="Q68" i="2"/>
  <c r="U67" i="2"/>
  <c r="N20" i="1"/>
  <c r="N19" i="1"/>
  <c r="N21" i="1"/>
  <c r="O170" i="1" l="1"/>
  <c r="P170" i="1"/>
  <c r="H172" i="1"/>
  <c r="H112" i="1"/>
  <c r="F173" i="1"/>
  <c r="J173" i="1"/>
  <c r="G173" i="1"/>
  <c r="M69" i="2"/>
  <c r="N173" i="1"/>
  <c r="K173" i="1"/>
  <c r="M173" i="1" s="1"/>
  <c r="D173" i="1"/>
  <c r="A173" i="1"/>
  <c r="E173" i="1"/>
  <c r="A114" i="1"/>
  <c r="D114" i="1"/>
  <c r="E114" i="1"/>
  <c r="G114" i="1"/>
  <c r="N114" i="1"/>
  <c r="F114" i="1"/>
  <c r="J114" i="1"/>
  <c r="H113" i="1"/>
  <c r="N115" i="1"/>
  <c r="A115" i="1"/>
  <c r="E115" i="1" s="1"/>
  <c r="D115" i="1"/>
  <c r="G115" i="1"/>
  <c r="F115" i="1"/>
  <c r="M172" i="1"/>
  <c r="Q69" i="2"/>
  <c r="L70" i="2"/>
  <c r="K70" i="2"/>
  <c r="P70" i="2"/>
  <c r="O70" i="2"/>
  <c r="F71" i="2"/>
  <c r="C117" i="1" s="1"/>
  <c r="E71" i="2"/>
  <c r="C116" i="1" s="1"/>
  <c r="I71" i="2"/>
  <c r="D71" i="2"/>
  <c r="C174" i="1" s="1"/>
  <c r="H71" i="2"/>
  <c r="U68" i="2"/>
  <c r="N22" i="1"/>
  <c r="U69" i="2" l="1"/>
  <c r="H173" i="1"/>
  <c r="J174" i="1"/>
  <c r="G174" i="1"/>
  <c r="F174" i="1"/>
  <c r="N174" i="1"/>
  <c r="K174" i="1"/>
  <c r="E174" i="1"/>
  <c r="D174" i="1"/>
  <c r="A174" i="1"/>
  <c r="A116" i="1"/>
  <c r="F116" i="1" s="1"/>
  <c r="N116" i="1"/>
  <c r="D116" i="1"/>
  <c r="G116" i="1"/>
  <c r="J116" i="1" s="1"/>
  <c r="E116" i="1"/>
  <c r="J115" i="1"/>
  <c r="H115" i="1"/>
  <c r="A117" i="1"/>
  <c r="G117" i="1" s="1"/>
  <c r="D117" i="1"/>
  <c r="N117" i="1"/>
  <c r="E117" i="1"/>
  <c r="F117" i="1"/>
  <c r="J117" i="1"/>
  <c r="L171" i="1"/>
  <c r="Q171" i="1" s="1"/>
  <c r="H114" i="1"/>
  <c r="Q70" i="2"/>
  <c r="M70" i="2"/>
  <c r="L71" i="2"/>
  <c r="K71" i="2"/>
  <c r="P71" i="2"/>
  <c r="O71" i="2"/>
  <c r="N23" i="1"/>
  <c r="N24" i="1"/>
  <c r="O171" i="1" l="1"/>
  <c r="P171" i="1"/>
  <c r="H117" i="1"/>
  <c r="H174" i="1"/>
  <c r="L173" i="1"/>
  <c r="Q173" i="1" s="1"/>
  <c r="H116" i="1"/>
  <c r="M174" i="1"/>
  <c r="L172" i="1"/>
  <c r="Q172" i="1" s="1"/>
  <c r="Q71" i="2"/>
  <c r="M71" i="2"/>
  <c r="U70" i="2"/>
  <c r="N25" i="1"/>
  <c r="N26" i="1"/>
  <c r="O172" i="1" l="1"/>
  <c r="P172" i="1"/>
  <c r="O173" i="1"/>
  <c r="P173" i="1"/>
  <c r="U71" i="2"/>
  <c r="N28" i="1"/>
  <c r="N27" i="1"/>
  <c r="L174" i="1" l="1"/>
  <c r="Q174" i="1" s="1"/>
  <c r="N29" i="1"/>
  <c r="N32" i="1"/>
  <c r="O174" i="1" l="1"/>
  <c r="P174" i="1"/>
  <c r="N31" i="1"/>
  <c r="N34" i="1" l="1"/>
  <c r="N33" i="1"/>
  <c r="N35" i="1" l="1"/>
  <c r="N40" i="1" l="1"/>
  <c r="N39" i="1"/>
  <c r="N41" i="1"/>
  <c r="N42" i="1" l="1"/>
  <c r="N43" i="1" l="1"/>
  <c r="N44" i="1"/>
  <c r="N46" i="1"/>
  <c r="N45" i="1" l="1"/>
  <c r="N47" i="1" l="1"/>
  <c r="N48" i="1"/>
  <c r="N49" i="1" l="1"/>
  <c r="N50" i="1"/>
  <c r="N51" i="1" l="1"/>
  <c r="N53" i="1"/>
  <c r="N54" i="1" l="1"/>
  <c r="N56" i="1" l="1"/>
  <c r="N55" i="1"/>
  <c r="N57" i="1" l="1"/>
  <c r="A144" i="1" l="1"/>
  <c r="F144" i="1" s="1"/>
  <c r="A143" i="1"/>
  <c r="F143" i="1" s="1"/>
  <c r="A142" i="1"/>
  <c r="G142" i="1" s="1"/>
  <c r="A141" i="1"/>
  <c r="G141" i="1" s="1"/>
  <c r="A140" i="1"/>
  <c r="G140" i="1" s="1"/>
  <c r="A139" i="1"/>
  <c r="E139" i="1" s="1"/>
  <c r="A138" i="1"/>
  <c r="E138" i="1" s="1"/>
  <c r="A137" i="1"/>
  <c r="E137" i="1" s="1"/>
  <c r="A136" i="1"/>
  <c r="G136" i="1" s="1"/>
  <c r="A135" i="1"/>
  <c r="G135" i="1" s="1"/>
  <c r="A134" i="1"/>
  <c r="E134" i="1" s="1"/>
  <c r="A133" i="1"/>
  <c r="E133" i="1" s="1"/>
  <c r="A132" i="1"/>
  <c r="E132" i="1" s="1"/>
  <c r="A131" i="1"/>
  <c r="G131" i="1" s="1"/>
  <c r="A130" i="1"/>
  <c r="G130" i="1" s="1"/>
  <c r="A129" i="1"/>
  <c r="G129" i="1" s="1"/>
  <c r="A128" i="1"/>
  <c r="G128" i="1" s="1"/>
  <c r="A127" i="1"/>
  <c r="E127" i="1" s="1"/>
  <c r="A126" i="1"/>
  <c r="G126" i="1" s="1"/>
  <c r="A125" i="1"/>
  <c r="E125" i="1" s="1"/>
  <c r="A124" i="1"/>
  <c r="G124" i="1" s="1"/>
  <c r="A123" i="1"/>
  <c r="G123" i="1" s="1"/>
  <c r="A122" i="1"/>
  <c r="F122" i="1" s="1"/>
  <c r="A121" i="1"/>
  <c r="G121" i="1" s="1"/>
  <c r="A120" i="1"/>
  <c r="G120" i="1" s="1"/>
  <c r="A119" i="1"/>
  <c r="G119" i="1" s="1"/>
  <c r="A118" i="1"/>
  <c r="F118" i="1" s="1"/>
  <c r="A57" i="1"/>
  <c r="G57" i="1" s="1"/>
  <c r="A56" i="1"/>
  <c r="F56" i="1" s="1"/>
  <c r="A55" i="1"/>
  <c r="G55" i="1" s="1"/>
  <c r="A54" i="1"/>
  <c r="G54" i="1" s="1"/>
  <c r="A53" i="1"/>
  <c r="G53" i="1" s="1"/>
  <c r="A52" i="1"/>
  <c r="G52" i="1" s="1"/>
  <c r="A51" i="1"/>
  <c r="E51" i="1" s="1"/>
  <c r="A50" i="1"/>
  <c r="F50" i="1" s="1"/>
  <c r="A49" i="1"/>
  <c r="E49" i="1" s="1"/>
  <c r="A48" i="1"/>
  <c r="F48" i="1" s="1"/>
  <c r="A47" i="1"/>
  <c r="G47" i="1" s="1"/>
  <c r="A46" i="1"/>
  <c r="E46" i="1" s="1"/>
  <c r="A45" i="1"/>
  <c r="E45" i="1" s="1"/>
  <c r="A44" i="1"/>
  <c r="E44" i="1" s="1"/>
  <c r="A43" i="1"/>
  <c r="G43" i="1" s="1"/>
  <c r="A42" i="1"/>
  <c r="G42" i="1" s="1"/>
  <c r="A41" i="1"/>
  <c r="G41" i="1" s="1"/>
  <c r="A40" i="1"/>
  <c r="F40" i="1" s="1"/>
  <c r="A39" i="1"/>
  <c r="G39" i="1" s="1"/>
  <c r="A38" i="1"/>
  <c r="F38" i="1" s="1"/>
  <c r="A37" i="1"/>
  <c r="G37" i="1" s="1"/>
  <c r="A36" i="1"/>
  <c r="F36" i="1" s="1"/>
  <c r="A35" i="1"/>
  <c r="F35" i="1" s="1"/>
  <c r="A34" i="1"/>
  <c r="E34" i="1" s="1"/>
  <c r="A33" i="1"/>
  <c r="E33" i="1" s="1"/>
  <c r="A32" i="1"/>
  <c r="F32" i="1" s="1"/>
  <c r="A31" i="1"/>
  <c r="G31" i="1" s="1"/>
  <c r="A30" i="1"/>
  <c r="G30" i="1" s="1"/>
  <c r="A29" i="1"/>
  <c r="G29" i="1" s="1"/>
  <c r="A28" i="1"/>
  <c r="F28" i="1" s="1"/>
  <c r="A27" i="1"/>
  <c r="G27" i="1" s="1"/>
  <c r="A26" i="1"/>
  <c r="G26" i="1" s="1"/>
  <c r="A25" i="1"/>
  <c r="G25" i="1" s="1"/>
  <c r="A24" i="1"/>
  <c r="G24" i="1" s="1"/>
  <c r="A23" i="1"/>
  <c r="G23" i="1" s="1"/>
  <c r="A22" i="1"/>
  <c r="F22" i="1" s="1"/>
  <c r="A21" i="1"/>
  <c r="G21" i="1" s="1"/>
  <c r="A20" i="1"/>
  <c r="E20" i="1" s="1"/>
  <c r="A19" i="1"/>
  <c r="G19" i="1" s="1"/>
  <c r="A18" i="1"/>
  <c r="G18" i="1" s="1"/>
  <c r="A17" i="1"/>
  <c r="F17" i="1" s="1"/>
  <c r="A16" i="1"/>
  <c r="G16" i="1" s="1"/>
  <c r="A15" i="1"/>
  <c r="G15" i="1" s="1"/>
  <c r="A14" i="1"/>
  <c r="G14" i="1" s="1"/>
  <c r="A13" i="1"/>
  <c r="G13" i="1" s="1"/>
  <c r="A12" i="1"/>
  <c r="F12" i="1" s="1"/>
  <c r="A11" i="1"/>
  <c r="F11" i="1" s="1"/>
  <c r="A10" i="1"/>
  <c r="E10" i="1" s="1"/>
  <c r="A9" i="1"/>
  <c r="G9" i="1" s="1"/>
  <c r="A8" i="1"/>
  <c r="E8" i="1" s="1"/>
  <c r="A7" i="1"/>
  <c r="G7" i="1" s="1"/>
  <c r="A6" i="1"/>
  <c r="G6" i="1" s="1"/>
  <c r="A5" i="1"/>
  <c r="G5" i="1" s="1"/>
  <c r="A4" i="1"/>
  <c r="M223" i="1"/>
  <c r="M224" i="1"/>
  <c r="M225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G226" i="1"/>
  <c r="F226" i="1"/>
  <c r="G225" i="1"/>
  <c r="F225" i="1"/>
  <c r="G224" i="1"/>
  <c r="F224" i="1"/>
  <c r="G223" i="1"/>
  <c r="F223" i="1"/>
  <c r="I175" i="1"/>
  <c r="L20" i="3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119" i="1"/>
  <c r="E226" i="1"/>
  <c r="E225" i="1"/>
  <c r="E224" i="1"/>
  <c r="E223" i="1"/>
  <c r="F16" i="2"/>
  <c r="E16" i="2"/>
  <c r="D16" i="2"/>
  <c r="D17" i="2" s="1"/>
  <c r="D18" i="2" s="1"/>
  <c r="D19" i="2" s="1"/>
  <c r="D20" i="2" s="1"/>
  <c r="D21" i="2" s="1"/>
  <c r="P15" i="4"/>
  <c r="D14" i="4"/>
  <c r="E14" i="4" s="1"/>
  <c r="AA13" i="4"/>
  <c r="D13" i="4"/>
  <c r="E13" i="4" s="1"/>
  <c r="AA12" i="4"/>
  <c r="D12" i="4"/>
  <c r="E12" i="4" s="1"/>
  <c r="AA11" i="4"/>
  <c r="D11" i="4"/>
  <c r="AA10" i="4"/>
  <c r="R10" i="4"/>
  <c r="D10" i="4"/>
  <c r="E10" i="4" s="1"/>
  <c r="AA9" i="4"/>
  <c r="D9" i="4"/>
  <c r="AA8" i="4"/>
  <c r="D8" i="4"/>
  <c r="AA6" i="4"/>
  <c r="D6" i="4"/>
  <c r="E47" i="3"/>
  <c r="E49" i="3" s="1"/>
  <c r="J15" i="3"/>
  <c r="I12" i="3"/>
  <c r="I13" i="3" s="1"/>
  <c r="G12" i="3"/>
  <c r="E12" i="3"/>
  <c r="H11" i="3"/>
  <c r="H12" i="3" s="1"/>
  <c r="F11" i="3"/>
  <c r="F12" i="3" s="1"/>
  <c r="F13" i="3" s="1"/>
  <c r="F9" i="3"/>
  <c r="T5" i="3"/>
  <c r="I4" i="3"/>
  <c r="I5" i="3" s="1"/>
  <c r="G4" i="3"/>
  <c r="J3" i="3"/>
  <c r="H3" i="3"/>
  <c r="F3" i="3"/>
  <c r="F4" i="3" s="1"/>
  <c r="F5" i="3" s="1"/>
  <c r="E3" i="3"/>
  <c r="G23" i="2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16" i="2"/>
  <c r="G17" i="2" s="1"/>
  <c r="G18" i="2" s="1"/>
  <c r="G19" i="2" s="1"/>
  <c r="G20" i="2" s="1"/>
  <c r="G21" i="2" s="1"/>
  <c r="K118" i="1"/>
  <c r="M118" i="1" s="1"/>
  <c r="K7" i="2"/>
  <c r="H7" i="2"/>
  <c r="I4" i="2"/>
  <c r="I5" i="2" s="1"/>
  <c r="G3" i="2"/>
  <c r="O15" i="2" s="1"/>
  <c r="I225" i="1"/>
  <c r="I224" i="1"/>
  <c r="I223" i="1"/>
  <c r="K44" i="1" l="1"/>
  <c r="K42" i="1"/>
  <c r="K36" i="1"/>
  <c r="K32" i="1"/>
  <c r="K26" i="1"/>
  <c r="K22" i="1"/>
  <c r="K20" i="1"/>
  <c r="K18" i="1"/>
  <c r="K16" i="1"/>
  <c r="K14" i="1"/>
  <c r="K56" i="1"/>
  <c r="K12" i="1"/>
  <c r="K54" i="1"/>
  <c r="K10" i="1"/>
  <c r="K6" i="1"/>
  <c r="F17" i="2"/>
  <c r="F18" i="2" s="1"/>
  <c r="F19" i="2" s="1"/>
  <c r="F20" i="2" s="1"/>
  <c r="F21" i="2" s="1"/>
  <c r="K19" i="1"/>
  <c r="K13" i="1"/>
  <c r="K11" i="1"/>
  <c r="K9" i="1"/>
  <c r="K7" i="1"/>
  <c r="K49" i="1"/>
  <c r="K47" i="1"/>
  <c r="K35" i="1"/>
  <c r="K29" i="1"/>
  <c r="K27" i="1"/>
  <c r="K25" i="1"/>
  <c r="K21" i="1"/>
  <c r="K17" i="1"/>
  <c r="K15" i="1"/>
  <c r="K57" i="1"/>
  <c r="K55" i="1"/>
  <c r="K37" i="1"/>
  <c r="K33" i="1"/>
  <c r="K31" i="1"/>
  <c r="E12" i="1"/>
  <c r="G42" i="2"/>
  <c r="E4" i="1"/>
  <c r="E8" i="4"/>
  <c r="J21" i="4"/>
  <c r="E9" i="4"/>
  <c r="Q15" i="7"/>
  <c r="Q16" i="7" s="1"/>
  <c r="Q17" i="7" s="1"/>
  <c r="Q18" i="7" s="1"/>
  <c r="Q19" i="7" s="1"/>
  <c r="Q21" i="7" s="1"/>
  <c r="Q22" i="7" s="1"/>
  <c r="Q24" i="7" s="1"/>
  <c r="Q25" i="7" s="1"/>
  <c r="Q26" i="7" s="1"/>
  <c r="Q27" i="7" s="1"/>
  <c r="Q12" i="7"/>
  <c r="Q77" i="7" s="1"/>
  <c r="E11" i="4"/>
  <c r="E6" i="4"/>
  <c r="J20" i="4"/>
  <c r="J22" i="4" s="1"/>
  <c r="E47" i="1"/>
  <c r="G12" i="1"/>
  <c r="J12" i="1" s="1"/>
  <c r="Q12" i="1" s="1"/>
  <c r="E36" i="1"/>
  <c r="F24" i="1"/>
  <c r="H24" i="1" s="1"/>
  <c r="F34" i="1"/>
  <c r="E24" i="1"/>
  <c r="E48" i="1"/>
  <c r="G48" i="1"/>
  <c r="J48" i="1" s="1"/>
  <c r="E120" i="1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G118" i="1"/>
  <c r="H118" i="1" s="1"/>
  <c r="P118" i="1" s="1"/>
  <c r="E11" i="1"/>
  <c r="G22" i="1"/>
  <c r="H22" i="1" s="1"/>
  <c r="E41" i="1"/>
  <c r="E39" i="1"/>
  <c r="E40" i="1"/>
  <c r="F33" i="1"/>
  <c r="G33" i="1"/>
  <c r="E13" i="1"/>
  <c r="E14" i="1"/>
  <c r="E119" i="1"/>
  <c r="E15" i="1"/>
  <c r="F23" i="1"/>
  <c r="J23" i="1" s="1"/>
  <c r="F4" i="1"/>
  <c r="G4" i="1"/>
  <c r="E16" i="1"/>
  <c r="E17" i="1"/>
  <c r="E23" i="1"/>
  <c r="L15" i="2"/>
  <c r="F22" i="2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D22" i="2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P15" i="2"/>
  <c r="H225" i="1"/>
  <c r="E37" i="1"/>
  <c r="F25" i="1"/>
  <c r="J25" i="1" s="1"/>
  <c r="F49" i="1"/>
  <c r="G49" i="1"/>
  <c r="F13" i="1"/>
  <c r="H13" i="1" s="1"/>
  <c r="F26" i="1"/>
  <c r="J26" i="1" s="1"/>
  <c r="G50" i="1"/>
  <c r="J50" i="1" s="1"/>
  <c r="E135" i="1"/>
  <c r="F27" i="1"/>
  <c r="H27" i="1" s="1"/>
  <c r="F51" i="1"/>
  <c r="F14" i="1"/>
  <c r="H14" i="1" s="1"/>
  <c r="P14" i="1" s="1"/>
  <c r="G51" i="1"/>
  <c r="E25" i="1"/>
  <c r="F15" i="1"/>
  <c r="H15" i="1" s="1"/>
  <c r="P15" i="1" s="1"/>
  <c r="E27" i="1"/>
  <c r="E50" i="1"/>
  <c r="F125" i="1"/>
  <c r="E5" i="1"/>
  <c r="E28" i="1"/>
  <c r="G38" i="1"/>
  <c r="J38" i="1" s="1"/>
  <c r="Q38" i="1" s="1"/>
  <c r="G125" i="1"/>
  <c r="E123" i="1"/>
  <c r="E121" i="1"/>
  <c r="E29" i="1"/>
  <c r="E52" i="1"/>
  <c r="F39" i="1"/>
  <c r="H39" i="1" s="1"/>
  <c r="F137" i="1"/>
  <c r="E35" i="1"/>
  <c r="E53" i="1"/>
  <c r="G137" i="1"/>
  <c r="G32" i="1"/>
  <c r="H32" i="1" s="1"/>
  <c r="E30" i="1"/>
  <c r="E18" i="1"/>
  <c r="E38" i="1"/>
  <c r="E54" i="1"/>
  <c r="F126" i="1"/>
  <c r="J126" i="1" s="1"/>
  <c r="Q126" i="1" s="1"/>
  <c r="E6" i="1"/>
  <c r="E26" i="1"/>
  <c r="E42" i="1"/>
  <c r="E128" i="1"/>
  <c r="E140" i="1"/>
  <c r="F138" i="1"/>
  <c r="F131" i="1"/>
  <c r="H131" i="1" s="1"/>
  <c r="P131" i="1" s="1"/>
  <c r="H226" i="1"/>
  <c r="E122" i="1"/>
  <c r="F120" i="1"/>
  <c r="H120" i="1" s="1"/>
  <c r="P120" i="1" s="1"/>
  <c r="E143" i="1"/>
  <c r="G44" i="1"/>
  <c r="F45" i="1"/>
  <c r="G132" i="1"/>
  <c r="E129" i="1"/>
  <c r="G35" i="1"/>
  <c r="J35" i="1" s="1"/>
  <c r="G45" i="1"/>
  <c r="F133" i="1"/>
  <c r="E130" i="1"/>
  <c r="F20" i="1"/>
  <c r="F46" i="1"/>
  <c r="G133" i="1"/>
  <c r="E7" i="1"/>
  <c r="E19" i="1"/>
  <c r="E31" i="1"/>
  <c r="E43" i="1"/>
  <c r="E55" i="1"/>
  <c r="E131" i="1"/>
  <c r="G10" i="1"/>
  <c r="G20" i="1"/>
  <c r="G36" i="1"/>
  <c r="J36" i="1" s="1"/>
  <c r="Q36" i="1" s="1"/>
  <c r="G46" i="1"/>
  <c r="G56" i="1"/>
  <c r="J56" i="1" s="1"/>
  <c r="G122" i="1"/>
  <c r="H122" i="1" s="1"/>
  <c r="P122" i="1" s="1"/>
  <c r="F134" i="1"/>
  <c r="G8" i="1"/>
  <c r="G143" i="1"/>
  <c r="H143" i="1" s="1"/>
  <c r="P143" i="1" s="1"/>
  <c r="F9" i="1"/>
  <c r="H9" i="1" s="1"/>
  <c r="F37" i="1"/>
  <c r="H37" i="1" s="1"/>
  <c r="P37" i="1" s="1"/>
  <c r="F47" i="1"/>
  <c r="J47" i="1" s="1"/>
  <c r="F57" i="1"/>
  <c r="J57" i="1" s="1"/>
  <c r="F123" i="1"/>
  <c r="J123" i="1" s="1"/>
  <c r="Q123" i="1" s="1"/>
  <c r="G134" i="1"/>
  <c r="F8" i="1"/>
  <c r="F44" i="1"/>
  <c r="G34" i="1"/>
  <c r="F132" i="1"/>
  <c r="F121" i="1"/>
  <c r="H121" i="1" s="1"/>
  <c r="P121" i="1" s="1"/>
  <c r="G144" i="1"/>
  <c r="H144" i="1" s="1"/>
  <c r="P144" i="1" s="1"/>
  <c r="F10" i="1"/>
  <c r="E32" i="1"/>
  <c r="E56" i="1"/>
  <c r="F21" i="1"/>
  <c r="J21" i="1" s="1"/>
  <c r="E9" i="1"/>
  <c r="E21" i="1"/>
  <c r="E57" i="1"/>
  <c r="G11" i="1"/>
  <c r="H11" i="1" s="1"/>
  <c r="P11" i="1" s="1"/>
  <c r="F135" i="1"/>
  <c r="J135" i="1" s="1"/>
  <c r="E141" i="1"/>
  <c r="E142" i="1"/>
  <c r="E144" i="1"/>
  <c r="E22" i="1"/>
  <c r="E118" i="1"/>
  <c r="G138" i="1"/>
  <c r="F127" i="1"/>
  <c r="F139" i="1"/>
  <c r="F128" i="1"/>
  <c r="H128" i="1" s="1"/>
  <c r="F140" i="1"/>
  <c r="H140" i="1" s="1"/>
  <c r="P140" i="1" s="1"/>
  <c r="E124" i="1"/>
  <c r="F141" i="1"/>
  <c r="J141" i="1" s="1"/>
  <c r="Q141" i="1" s="1"/>
  <c r="E136" i="1"/>
  <c r="F129" i="1"/>
  <c r="J129" i="1" s="1"/>
  <c r="Q129" i="1" s="1"/>
  <c r="E126" i="1"/>
  <c r="F124" i="1"/>
  <c r="J124" i="1" s="1"/>
  <c r="Q124" i="1" s="1"/>
  <c r="F130" i="1"/>
  <c r="H130" i="1" s="1"/>
  <c r="P130" i="1" s="1"/>
  <c r="F136" i="1"/>
  <c r="J136" i="1" s="1"/>
  <c r="F142" i="1"/>
  <c r="H142" i="1" s="1"/>
  <c r="P142" i="1" s="1"/>
  <c r="G127" i="1"/>
  <c r="G139" i="1"/>
  <c r="F52" i="1"/>
  <c r="H52" i="1" s="1"/>
  <c r="P52" i="1" s="1"/>
  <c r="G28" i="1"/>
  <c r="H28" i="1" s="1"/>
  <c r="G40" i="1"/>
  <c r="H40" i="1" s="1"/>
  <c r="F29" i="1"/>
  <c r="H29" i="1" s="1"/>
  <c r="F41" i="1"/>
  <c r="H41" i="1" s="1"/>
  <c r="F53" i="1"/>
  <c r="H53" i="1" s="1"/>
  <c r="G17" i="1"/>
  <c r="J17" i="1" s="1"/>
  <c r="F6" i="1"/>
  <c r="H6" i="1" s="1"/>
  <c r="P6" i="1" s="1"/>
  <c r="F18" i="1"/>
  <c r="J18" i="1" s="1"/>
  <c r="Q18" i="1" s="1"/>
  <c r="F30" i="1"/>
  <c r="H30" i="1" s="1"/>
  <c r="P30" i="1" s="1"/>
  <c r="F42" i="1"/>
  <c r="H42" i="1" s="1"/>
  <c r="F54" i="1"/>
  <c r="H54" i="1" s="1"/>
  <c r="F16" i="1"/>
  <c r="H16" i="1" s="1"/>
  <c r="F7" i="1"/>
  <c r="H7" i="1" s="1"/>
  <c r="P7" i="1" s="1"/>
  <c r="F19" i="1"/>
  <c r="H19" i="1" s="1"/>
  <c r="F43" i="1"/>
  <c r="H43" i="1" s="1"/>
  <c r="F55" i="1"/>
  <c r="H55" i="1" s="1"/>
  <c r="F5" i="1"/>
  <c r="J5" i="1" s="1"/>
  <c r="Q5" i="1" s="1"/>
  <c r="F31" i="1"/>
  <c r="H31" i="1" s="1"/>
  <c r="H223" i="1"/>
  <c r="H119" i="1"/>
  <c r="P119" i="1" s="1"/>
  <c r="H224" i="1"/>
  <c r="J226" i="1"/>
  <c r="L226" i="1" s="1"/>
  <c r="Q226" i="1" s="1"/>
  <c r="J223" i="1"/>
  <c r="L223" i="1" s="1"/>
  <c r="Q223" i="1" s="1"/>
  <c r="J225" i="1"/>
  <c r="L225" i="1" s="1"/>
  <c r="Q225" i="1" s="1"/>
  <c r="J224" i="1"/>
  <c r="L224" i="1" s="1"/>
  <c r="Q224" i="1" s="1"/>
  <c r="J119" i="1"/>
  <c r="Q119" i="1" s="1"/>
  <c r="I7" i="3"/>
  <c r="I7" i="2"/>
  <c r="G13" i="3"/>
  <c r="G15" i="3" s="1"/>
  <c r="R46" i="3"/>
  <c r="E13" i="3"/>
  <c r="E15" i="3" s="1"/>
  <c r="G5" i="3"/>
  <c r="G7" i="3" s="1"/>
  <c r="Q46" i="3"/>
  <c r="R48" i="3"/>
  <c r="Q48" i="3"/>
  <c r="U46" i="3"/>
  <c r="T46" i="3"/>
  <c r="G4" i="2"/>
  <c r="O3" i="2"/>
  <c r="H13" i="3"/>
  <c r="H15" i="3" s="1"/>
  <c r="I15" i="3"/>
  <c r="O45" i="3"/>
  <c r="N45" i="3"/>
  <c r="N44" i="3"/>
  <c r="E4" i="3"/>
  <c r="O44" i="3"/>
  <c r="F7" i="3"/>
  <c r="F15" i="3"/>
  <c r="H4" i="3"/>
  <c r="H5" i="3" s="1"/>
  <c r="J4" i="3"/>
  <c r="J5" i="3" s="1"/>
  <c r="K28" i="1" l="1"/>
  <c r="K50" i="1"/>
  <c r="K23" i="1"/>
  <c r="K41" i="1"/>
  <c r="K40" i="1"/>
  <c r="K45" i="1"/>
  <c r="K46" i="1"/>
  <c r="K30" i="1"/>
  <c r="K39" i="1"/>
  <c r="K52" i="1"/>
  <c r="K43" i="1"/>
  <c r="K51" i="1"/>
  <c r="K34" i="1"/>
  <c r="K48" i="1"/>
  <c r="K24" i="1"/>
  <c r="K53" i="1"/>
  <c r="K8" i="1"/>
  <c r="K38" i="1"/>
  <c r="F42" i="2"/>
  <c r="C59" i="1" s="1"/>
  <c r="K59" i="1" s="1"/>
  <c r="D42" i="2"/>
  <c r="C145" i="1" s="1"/>
  <c r="E42" i="2"/>
  <c r="C58" i="1" s="1"/>
  <c r="K58" i="1" s="1"/>
  <c r="G43" i="2"/>
  <c r="G44" i="2" s="1"/>
  <c r="G45" i="2" s="1"/>
  <c r="G46" i="2" s="1"/>
  <c r="G47" i="2" s="1"/>
  <c r="H12" i="1"/>
  <c r="P12" i="1" s="1"/>
  <c r="P224" i="1"/>
  <c r="P226" i="1"/>
  <c r="P225" i="1"/>
  <c r="P223" i="1"/>
  <c r="H34" i="1"/>
  <c r="L9" i="7"/>
  <c r="P9" i="7" s="1"/>
  <c r="R9" i="7" s="1"/>
  <c r="O224" i="1"/>
  <c r="L12" i="7"/>
  <c r="O223" i="1"/>
  <c r="L14" i="7"/>
  <c r="P14" i="7" s="1"/>
  <c r="R14" i="7" s="1"/>
  <c r="O225" i="1"/>
  <c r="M12" i="7"/>
  <c r="J24" i="1"/>
  <c r="H48" i="1"/>
  <c r="J22" i="1"/>
  <c r="J118" i="1"/>
  <c r="H38" i="1"/>
  <c r="P38" i="1" s="1"/>
  <c r="H26" i="1"/>
  <c r="J46" i="1"/>
  <c r="J131" i="1"/>
  <c r="Q131" i="1" s="1"/>
  <c r="H23" i="1"/>
  <c r="J33" i="1"/>
  <c r="H137" i="1"/>
  <c r="H49" i="1"/>
  <c r="H4" i="1"/>
  <c r="P4" i="1" s="1"/>
  <c r="J120" i="1"/>
  <c r="Q120" i="1" s="1"/>
  <c r="J15" i="1"/>
  <c r="Q15" i="1" s="1"/>
  <c r="J16" i="1"/>
  <c r="J4" i="1"/>
  <c r="Q4" i="1" s="1"/>
  <c r="J28" i="1"/>
  <c r="H33" i="1"/>
  <c r="J40" i="1"/>
  <c r="H25" i="1"/>
  <c r="J39" i="1"/>
  <c r="J49" i="1"/>
  <c r="J137" i="1"/>
  <c r="J13" i="1"/>
  <c r="J53" i="1"/>
  <c r="J41" i="1"/>
  <c r="J7" i="1"/>
  <c r="Q7" i="1" s="1"/>
  <c r="H10" i="1"/>
  <c r="H45" i="1"/>
  <c r="H51" i="1"/>
  <c r="J125" i="1"/>
  <c r="Q125" i="1" s="1"/>
  <c r="M15" i="2"/>
  <c r="O16" i="2"/>
  <c r="P16" i="2"/>
  <c r="L16" i="2"/>
  <c r="K16" i="2"/>
  <c r="K119" i="1"/>
  <c r="M119" i="1" s="1"/>
  <c r="H123" i="1"/>
  <c r="P123" i="1" s="1"/>
  <c r="H126" i="1"/>
  <c r="P126" i="1" s="1"/>
  <c r="J134" i="1"/>
  <c r="Q134" i="1" s="1"/>
  <c r="H57" i="1"/>
  <c r="J27" i="1"/>
  <c r="J143" i="1"/>
  <c r="Q143" i="1" s="1"/>
  <c r="J29" i="1"/>
  <c r="J140" i="1"/>
  <c r="Q140" i="1" s="1"/>
  <c r="J32" i="1"/>
  <c r="H125" i="1"/>
  <c r="P125" i="1" s="1"/>
  <c r="O226" i="1"/>
  <c r="J139" i="1"/>
  <c r="Q139" i="1" s="1"/>
  <c r="J51" i="1"/>
  <c r="J37" i="1"/>
  <c r="Q37" i="1" s="1"/>
  <c r="H47" i="1"/>
  <c r="H50" i="1"/>
  <c r="J121" i="1"/>
  <c r="Q121" i="1" s="1"/>
  <c r="H8" i="1"/>
  <c r="P8" i="1" s="1"/>
  <c r="J14" i="1"/>
  <c r="Q14" i="1" s="1"/>
  <c r="J9" i="1"/>
  <c r="H44" i="1"/>
  <c r="H138" i="1"/>
  <c r="P138" i="1" s="1"/>
  <c r="H20" i="1"/>
  <c r="H135" i="1"/>
  <c r="J34" i="1"/>
  <c r="J11" i="1"/>
  <c r="Q11" i="1" s="1"/>
  <c r="J10" i="1"/>
  <c r="J52" i="1"/>
  <c r="Q52" i="1" s="1"/>
  <c r="H35" i="1"/>
  <c r="H46" i="1"/>
  <c r="J122" i="1"/>
  <c r="Q122" i="1" s="1"/>
  <c r="H132" i="1"/>
  <c r="H133" i="1"/>
  <c r="J45" i="1"/>
  <c r="J128" i="1"/>
  <c r="J132" i="1"/>
  <c r="J127" i="1"/>
  <c r="J138" i="1"/>
  <c r="Q138" i="1" s="1"/>
  <c r="H36" i="1"/>
  <c r="P36" i="1" s="1"/>
  <c r="J55" i="1"/>
  <c r="J31" i="1"/>
  <c r="H5" i="1"/>
  <c r="P5" i="1" s="1"/>
  <c r="J19" i="1"/>
  <c r="J144" i="1"/>
  <c r="Q144" i="1" s="1"/>
  <c r="H134" i="1"/>
  <c r="P134" i="1" s="1"/>
  <c r="H56" i="1"/>
  <c r="J142" i="1"/>
  <c r="Q142" i="1" s="1"/>
  <c r="J44" i="1"/>
  <c r="J43" i="1"/>
  <c r="H17" i="1"/>
  <c r="H21" i="1"/>
  <c r="J133" i="1"/>
  <c r="H136" i="1"/>
  <c r="H141" i="1"/>
  <c r="P141" i="1" s="1"/>
  <c r="J20" i="1"/>
  <c r="H124" i="1"/>
  <c r="P124" i="1" s="1"/>
  <c r="J8" i="1"/>
  <c r="Q8" i="1" s="1"/>
  <c r="H129" i="1"/>
  <c r="P129" i="1" s="1"/>
  <c r="J130" i="1"/>
  <c r="Q130" i="1" s="1"/>
  <c r="H127" i="1"/>
  <c r="H139" i="1"/>
  <c r="P139" i="1" s="1"/>
  <c r="J54" i="1"/>
  <c r="J30" i="1"/>
  <c r="Q30" i="1" s="1"/>
  <c r="J6" i="1"/>
  <c r="Q6" i="1" s="1"/>
  <c r="H18" i="1"/>
  <c r="P18" i="1" s="1"/>
  <c r="J42" i="1"/>
  <c r="H20" i="3"/>
  <c r="I20" i="3"/>
  <c r="J7" i="3"/>
  <c r="S46" i="3"/>
  <c r="V46" i="3"/>
  <c r="S48" i="3"/>
  <c r="P45" i="3"/>
  <c r="G5" i="2"/>
  <c r="Q15" i="2"/>
  <c r="H7" i="3"/>
  <c r="P44" i="3"/>
  <c r="E5" i="3"/>
  <c r="U48" i="3"/>
  <c r="T48" i="3"/>
  <c r="E43" i="2" l="1"/>
  <c r="D43" i="2"/>
  <c r="A59" i="1"/>
  <c r="E59" i="1" s="1"/>
  <c r="N59" i="1"/>
  <c r="D59" i="1"/>
  <c r="F43" i="2"/>
  <c r="Q118" i="1"/>
  <c r="R119" i="1" s="1"/>
  <c r="P12" i="7"/>
  <c r="K17" i="2"/>
  <c r="L17" i="2"/>
  <c r="K120" i="1"/>
  <c r="M120" i="1" s="1"/>
  <c r="F44" i="2"/>
  <c r="C61" i="1"/>
  <c r="K61" i="1" s="1"/>
  <c r="O17" i="2"/>
  <c r="P17" i="2"/>
  <c r="G48" i="2"/>
  <c r="G59" i="1"/>
  <c r="N145" i="1"/>
  <c r="D145" i="1"/>
  <c r="A145" i="1"/>
  <c r="F145" i="1" s="1"/>
  <c r="D44" i="2"/>
  <c r="C146" i="1"/>
  <c r="E44" i="2"/>
  <c r="C60" i="1"/>
  <c r="K60" i="1" s="1"/>
  <c r="A58" i="1"/>
  <c r="G58" i="1" s="1"/>
  <c r="N58" i="1"/>
  <c r="D58" i="1"/>
  <c r="M16" i="2"/>
  <c r="E7" i="3"/>
  <c r="Q9" i="2"/>
  <c r="G7" i="2"/>
  <c r="Q16" i="2"/>
  <c r="V48" i="3"/>
  <c r="F59" i="1" l="1"/>
  <c r="W15" i="2"/>
  <c r="E58" i="1"/>
  <c r="F58" i="1"/>
  <c r="J58" i="1" s="1"/>
  <c r="R12" i="7"/>
  <c r="S12" i="7" s="1"/>
  <c r="E145" i="1"/>
  <c r="G49" i="2"/>
  <c r="P18" i="2"/>
  <c r="O18" i="2"/>
  <c r="D146" i="1"/>
  <c r="N146" i="1"/>
  <c r="A146" i="1"/>
  <c r="G146" i="1" s="1"/>
  <c r="D45" i="2"/>
  <c r="C147" i="1"/>
  <c r="F45" i="2"/>
  <c r="C63" i="1"/>
  <c r="K63" i="1" s="1"/>
  <c r="A60" i="1"/>
  <c r="E60" i="1" s="1"/>
  <c r="N60" i="1"/>
  <c r="D60" i="1"/>
  <c r="L18" i="2"/>
  <c r="K18" i="2"/>
  <c r="K121" i="1"/>
  <c r="M121" i="1" s="1"/>
  <c r="A61" i="1"/>
  <c r="E61" i="1" s="1"/>
  <c r="N61" i="1"/>
  <c r="D61" i="1"/>
  <c r="G145" i="1"/>
  <c r="J145" i="1" s="1"/>
  <c r="E45" i="2"/>
  <c r="C62" i="1"/>
  <c r="K62" i="1" s="1"/>
  <c r="H59" i="1"/>
  <c r="J59" i="1"/>
  <c r="Q17" i="2"/>
  <c r="M17" i="2"/>
  <c r="U15" i="2"/>
  <c r="U16" i="2" l="1"/>
  <c r="W16" i="2"/>
  <c r="H58" i="1"/>
  <c r="G60" i="1"/>
  <c r="E146" i="1"/>
  <c r="F146" i="1"/>
  <c r="H146" i="1" s="1"/>
  <c r="F60" i="1"/>
  <c r="G61" i="1"/>
  <c r="F61" i="1"/>
  <c r="H145" i="1"/>
  <c r="F46" i="2"/>
  <c r="C65" i="1"/>
  <c r="K65" i="1" s="1"/>
  <c r="A147" i="1"/>
  <c r="G147" i="1" s="1"/>
  <c r="N147" i="1"/>
  <c r="D147" i="1"/>
  <c r="E46" i="2"/>
  <c r="C64" i="1"/>
  <c r="K64" i="1" s="1"/>
  <c r="D46" i="2"/>
  <c r="C148" i="1"/>
  <c r="O19" i="2"/>
  <c r="P19" i="2"/>
  <c r="K19" i="2"/>
  <c r="K122" i="1"/>
  <c r="M122" i="1" s="1"/>
  <c r="L19" i="2"/>
  <c r="A63" i="1"/>
  <c r="G63" i="1" s="1"/>
  <c r="N63" i="1"/>
  <c r="D63" i="1"/>
  <c r="N62" i="1"/>
  <c r="D62" i="1"/>
  <c r="A62" i="1"/>
  <c r="F62" i="1" s="1"/>
  <c r="G50" i="2"/>
  <c r="Q18" i="2"/>
  <c r="M18" i="2"/>
  <c r="U17" i="2" l="1"/>
  <c r="W17" i="2"/>
  <c r="H60" i="1"/>
  <c r="J146" i="1"/>
  <c r="F147" i="1"/>
  <c r="H147" i="1" s="1"/>
  <c r="J61" i="1"/>
  <c r="H61" i="1"/>
  <c r="J60" i="1"/>
  <c r="E62" i="1"/>
  <c r="G62" i="1"/>
  <c r="J62" i="1" s="1"/>
  <c r="P20" i="2"/>
  <c r="O20" i="2"/>
  <c r="F63" i="1"/>
  <c r="N148" i="1"/>
  <c r="A148" i="1"/>
  <c r="F148" i="1" s="1"/>
  <c r="D148" i="1"/>
  <c r="A65" i="1"/>
  <c r="G65" i="1" s="1"/>
  <c r="N65" i="1"/>
  <c r="D65" i="1"/>
  <c r="E147" i="1"/>
  <c r="F47" i="2"/>
  <c r="C67" i="1"/>
  <c r="K67" i="1" s="1"/>
  <c r="K123" i="1"/>
  <c r="M123" i="1" s="1"/>
  <c r="L20" i="2"/>
  <c r="K20" i="2"/>
  <c r="A64" i="1"/>
  <c r="F64" i="1" s="1"/>
  <c r="N64" i="1"/>
  <c r="D64" i="1"/>
  <c r="C149" i="1"/>
  <c r="D47" i="2"/>
  <c r="E63" i="1"/>
  <c r="G51" i="2"/>
  <c r="C66" i="1"/>
  <c r="K66" i="1" s="1"/>
  <c r="E47" i="2"/>
  <c r="M19" i="2"/>
  <c r="Q19" i="2"/>
  <c r="U18" i="2" l="1"/>
  <c r="W18" i="2"/>
  <c r="J147" i="1"/>
  <c r="E148" i="1"/>
  <c r="E64" i="1"/>
  <c r="G64" i="1"/>
  <c r="H64" i="1" s="1"/>
  <c r="H62" i="1"/>
  <c r="F48" i="2"/>
  <c r="C69" i="1"/>
  <c r="K69" i="1" s="1"/>
  <c r="P21" i="2"/>
  <c r="O21" i="2"/>
  <c r="G148" i="1"/>
  <c r="H148" i="1" s="1"/>
  <c r="K124" i="1"/>
  <c r="M124" i="1" s="1"/>
  <c r="L21" i="2"/>
  <c r="K21" i="2"/>
  <c r="F65" i="1"/>
  <c r="H63" i="1"/>
  <c r="J63" i="1"/>
  <c r="G52" i="2"/>
  <c r="E65" i="1"/>
  <c r="N149" i="1"/>
  <c r="D149" i="1"/>
  <c r="A149" i="1"/>
  <c r="F149" i="1" s="1"/>
  <c r="A67" i="1"/>
  <c r="G67" i="1" s="1"/>
  <c r="N67" i="1"/>
  <c r="D67" i="1"/>
  <c r="E48" i="2"/>
  <c r="C68" i="1"/>
  <c r="K68" i="1" s="1"/>
  <c r="A66" i="1"/>
  <c r="F66" i="1" s="1"/>
  <c r="N66" i="1"/>
  <c r="D66" i="1"/>
  <c r="D48" i="2"/>
  <c r="C150" i="1"/>
  <c r="M20" i="2"/>
  <c r="Q20" i="2"/>
  <c r="U19" i="2" l="1"/>
  <c r="W19" i="2"/>
  <c r="E149" i="1"/>
  <c r="J64" i="1"/>
  <c r="E67" i="1"/>
  <c r="F67" i="1"/>
  <c r="J67" i="1" s="1"/>
  <c r="G149" i="1"/>
  <c r="H149" i="1" s="1"/>
  <c r="D150" i="1"/>
  <c r="N150" i="1"/>
  <c r="A150" i="1"/>
  <c r="G150" i="1" s="1"/>
  <c r="N69" i="1"/>
  <c r="A69" i="1"/>
  <c r="F69" i="1" s="1"/>
  <c r="D69" i="1"/>
  <c r="G66" i="1"/>
  <c r="H66" i="1" s="1"/>
  <c r="E66" i="1"/>
  <c r="G53" i="2"/>
  <c r="G54" i="2" s="1"/>
  <c r="G55" i="2" s="1"/>
  <c r="G56" i="2" s="1"/>
  <c r="G57" i="2" s="1"/>
  <c r="H65" i="1"/>
  <c r="J65" i="1"/>
  <c r="D68" i="1"/>
  <c r="A68" i="1"/>
  <c r="G68" i="1" s="1"/>
  <c r="N68" i="1"/>
  <c r="E49" i="2"/>
  <c r="C70" i="1"/>
  <c r="K70" i="1" s="1"/>
  <c r="D49" i="2"/>
  <c r="C151" i="1"/>
  <c r="F49" i="2"/>
  <c r="C71" i="1"/>
  <c r="K71" i="1" s="1"/>
  <c r="L22" i="2"/>
  <c r="K125" i="1"/>
  <c r="M125" i="1" s="1"/>
  <c r="K22" i="2"/>
  <c r="J148" i="1"/>
  <c r="P22" i="2"/>
  <c r="O22" i="2"/>
  <c r="M21" i="2"/>
  <c r="Q21" i="2"/>
  <c r="U20" i="2" l="1"/>
  <c r="W20" i="2"/>
  <c r="G58" i="2"/>
  <c r="G59" i="2" s="1"/>
  <c r="H67" i="1"/>
  <c r="E150" i="1"/>
  <c r="F150" i="1"/>
  <c r="J150" i="1" s="1"/>
  <c r="J149" i="1"/>
  <c r="E68" i="1"/>
  <c r="G69" i="1"/>
  <c r="J69" i="1" s="1"/>
  <c r="E69" i="1"/>
  <c r="F68" i="1"/>
  <c r="D50" i="2"/>
  <c r="C152" i="1"/>
  <c r="E50" i="2"/>
  <c r="C72" i="1"/>
  <c r="K72" i="1" s="1"/>
  <c r="P23" i="2"/>
  <c r="O23" i="2"/>
  <c r="N71" i="1"/>
  <c r="D71" i="1"/>
  <c r="A71" i="1"/>
  <c r="E71" i="1" s="1"/>
  <c r="J66" i="1"/>
  <c r="L23" i="2"/>
  <c r="K23" i="2"/>
  <c r="K126" i="1"/>
  <c r="M126" i="1" s="1"/>
  <c r="F50" i="2"/>
  <c r="C73" i="1"/>
  <c r="K73" i="1" s="1"/>
  <c r="A151" i="1"/>
  <c r="G151" i="1" s="1"/>
  <c r="N151" i="1"/>
  <c r="D151" i="1"/>
  <c r="N70" i="1"/>
  <c r="D70" i="1"/>
  <c r="A70" i="1"/>
  <c r="F70" i="1" s="1"/>
  <c r="Q22" i="2"/>
  <c r="M22" i="2"/>
  <c r="U21" i="2" l="1"/>
  <c r="W21" i="2"/>
  <c r="H150" i="1"/>
  <c r="G70" i="1"/>
  <c r="J70" i="1" s="1"/>
  <c r="E70" i="1"/>
  <c r="H68" i="1"/>
  <c r="J68" i="1"/>
  <c r="H69" i="1"/>
  <c r="O24" i="2"/>
  <c r="P24" i="2"/>
  <c r="N72" i="1"/>
  <c r="D72" i="1"/>
  <c r="A72" i="1"/>
  <c r="F72" i="1" s="1"/>
  <c r="E51" i="2"/>
  <c r="C74" i="1"/>
  <c r="K74" i="1" s="1"/>
  <c r="E151" i="1"/>
  <c r="G71" i="1"/>
  <c r="N152" i="1"/>
  <c r="A152" i="1"/>
  <c r="F152" i="1" s="1"/>
  <c r="D152" i="1"/>
  <c r="A73" i="1"/>
  <c r="G73" i="1" s="1"/>
  <c r="D73" i="1"/>
  <c r="N73" i="1"/>
  <c r="F151" i="1"/>
  <c r="F71" i="1"/>
  <c r="D51" i="2"/>
  <c r="C153" i="1"/>
  <c r="F51" i="2"/>
  <c r="C75" i="1"/>
  <c r="K75" i="1" s="1"/>
  <c r="K24" i="2"/>
  <c r="L24" i="2"/>
  <c r="K127" i="1"/>
  <c r="M23" i="2"/>
  <c r="Q23" i="2"/>
  <c r="U22" i="2" l="1"/>
  <c r="W22" i="2"/>
  <c r="G60" i="2"/>
  <c r="E152" i="1"/>
  <c r="H70" i="1"/>
  <c r="G152" i="1"/>
  <c r="O25" i="2"/>
  <c r="P25" i="2"/>
  <c r="A74" i="1"/>
  <c r="E74" i="1" s="1"/>
  <c r="D74" i="1"/>
  <c r="N74" i="1"/>
  <c r="F52" i="2"/>
  <c r="C77" i="1"/>
  <c r="K77" i="1" s="1"/>
  <c r="A153" i="1"/>
  <c r="F153" i="1" s="1"/>
  <c r="D153" i="1"/>
  <c r="N153" i="1"/>
  <c r="G72" i="1"/>
  <c r="H72" i="1" s="1"/>
  <c r="H151" i="1"/>
  <c r="J151" i="1"/>
  <c r="E72" i="1"/>
  <c r="F73" i="1"/>
  <c r="M127" i="1"/>
  <c r="L127" i="1"/>
  <c r="Q127" i="1" s="1"/>
  <c r="E73" i="1"/>
  <c r="K25" i="2"/>
  <c r="K128" i="1"/>
  <c r="L25" i="2"/>
  <c r="A75" i="1"/>
  <c r="G75" i="1" s="1"/>
  <c r="D75" i="1"/>
  <c r="N75" i="1"/>
  <c r="E52" i="2"/>
  <c r="C76" i="1"/>
  <c r="K76" i="1" s="1"/>
  <c r="D52" i="2"/>
  <c r="C154" i="1"/>
  <c r="H71" i="1"/>
  <c r="J71" i="1"/>
  <c r="M24" i="2"/>
  <c r="Q24" i="2"/>
  <c r="U23" i="2" l="1"/>
  <c r="W23" i="2"/>
  <c r="O127" i="1"/>
  <c r="P127" i="1"/>
  <c r="G61" i="2"/>
  <c r="G74" i="1"/>
  <c r="F74" i="1"/>
  <c r="H152" i="1"/>
  <c r="J152" i="1"/>
  <c r="E75" i="1"/>
  <c r="F75" i="1"/>
  <c r="H75" i="1" s="1"/>
  <c r="E153" i="1"/>
  <c r="G153" i="1"/>
  <c r="J153" i="1" s="1"/>
  <c r="A77" i="1"/>
  <c r="G77" i="1" s="1"/>
  <c r="N77" i="1"/>
  <c r="D77" i="1"/>
  <c r="F53" i="2"/>
  <c r="C79" i="1"/>
  <c r="K79" i="1" s="1"/>
  <c r="H73" i="1"/>
  <c r="J73" i="1"/>
  <c r="D53" i="2"/>
  <c r="C155" i="1"/>
  <c r="M128" i="1"/>
  <c r="L128" i="1"/>
  <c r="Q128" i="1" s="1"/>
  <c r="D76" i="1"/>
  <c r="A76" i="1"/>
  <c r="G76" i="1" s="1"/>
  <c r="N76" i="1"/>
  <c r="E53" i="2"/>
  <c r="C78" i="1"/>
  <c r="K78" i="1" s="1"/>
  <c r="J72" i="1"/>
  <c r="K129" i="1"/>
  <c r="M129" i="1" s="1"/>
  <c r="L26" i="2"/>
  <c r="K26" i="2"/>
  <c r="A154" i="1"/>
  <c r="E154" i="1" s="1"/>
  <c r="D154" i="1"/>
  <c r="N154" i="1"/>
  <c r="O26" i="2"/>
  <c r="P26" i="2"/>
  <c r="M25" i="2"/>
  <c r="Q25" i="2"/>
  <c r="U24" i="2" l="1"/>
  <c r="W24" i="2"/>
  <c r="O128" i="1"/>
  <c r="P128" i="1"/>
  <c r="G62" i="2"/>
  <c r="F77" i="1"/>
  <c r="J77" i="1" s="1"/>
  <c r="H74" i="1"/>
  <c r="G154" i="1"/>
  <c r="E77" i="1"/>
  <c r="F154" i="1"/>
  <c r="J74" i="1"/>
  <c r="J75" i="1"/>
  <c r="H153" i="1"/>
  <c r="K130" i="1"/>
  <c r="M130" i="1" s="1"/>
  <c r="L27" i="2"/>
  <c r="K27" i="2"/>
  <c r="E76" i="1"/>
  <c r="F76" i="1"/>
  <c r="O27" i="2"/>
  <c r="P27" i="2"/>
  <c r="D79" i="1"/>
  <c r="A79" i="1"/>
  <c r="E79" i="1" s="1"/>
  <c r="N79" i="1"/>
  <c r="F54" i="2"/>
  <c r="C83" i="1" s="1"/>
  <c r="K83" i="1" s="1"/>
  <c r="C81" i="1"/>
  <c r="K81" i="1" s="1"/>
  <c r="D78" i="1"/>
  <c r="N78" i="1"/>
  <c r="A78" i="1"/>
  <c r="E78" i="1" s="1"/>
  <c r="A155" i="1"/>
  <c r="F155" i="1" s="1"/>
  <c r="N155" i="1"/>
  <c r="D155" i="1"/>
  <c r="E54" i="2"/>
  <c r="C80" i="1"/>
  <c r="K80" i="1" s="1"/>
  <c r="D54" i="2"/>
  <c r="C156" i="1"/>
  <c r="Q26" i="2"/>
  <c r="M26" i="2"/>
  <c r="U25" i="2" l="1"/>
  <c r="W25" i="2"/>
  <c r="H77" i="1"/>
  <c r="C82" i="1"/>
  <c r="K82" i="1" s="1"/>
  <c r="G63" i="2"/>
  <c r="G64" i="2" s="1"/>
  <c r="N83" i="1"/>
  <c r="D83" i="1"/>
  <c r="A83" i="1"/>
  <c r="F83" i="1" s="1"/>
  <c r="J154" i="1"/>
  <c r="H154" i="1"/>
  <c r="E155" i="1"/>
  <c r="G78" i="1"/>
  <c r="F78" i="1"/>
  <c r="F79" i="1"/>
  <c r="G79" i="1"/>
  <c r="D156" i="1"/>
  <c r="A156" i="1"/>
  <c r="F156" i="1" s="1"/>
  <c r="N156" i="1"/>
  <c r="H76" i="1"/>
  <c r="J76" i="1"/>
  <c r="E55" i="2"/>
  <c r="C84" i="1" s="1"/>
  <c r="K84" i="1" s="1"/>
  <c r="O28" i="2"/>
  <c r="P28" i="2"/>
  <c r="L28" i="2"/>
  <c r="K28" i="2"/>
  <c r="K131" i="1"/>
  <c r="M131" i="1" s="1"/>
  <c r="A81" i="1"/>
  <c r="F81" i="1" s="1"/>
  <c r="N81" i="1"/>
  <c r="D81" i="1"/>
  <c r="D80" i="1"/>
  <c r="A80" i="1"/>
  <c r="G80" i="1" s="1"/>
  <c r="N80" i="1"/>
  <c r="F55" i="2"/>
  <c r="C85" i="1" s="1"/>
  <c r="K85" i="1" s="1"/>
  <c r="D55" i="2"/>
  <c r="C157" i="1"/>
  <c r="G155" i="1"/>
  <c r="J155" i="1" s="1"/>
  <c r="Q27" i="2"/>
  <c r="M27" i="2"/>
  <c r="G65" i="2" l="1"/>
  <c r="U26" i="2"/>
  <c r="W26" i="2"/>
  <c r="D82" i="1"/>
  <c r="A82" i="1"/>
  <c r="G82" i="1" s="1"/>
  <c r="N82" i="1"/>
  <c r="D84" i="1"/>
  <c r="N84" i="1"/>
  <c r="A84" i="1"/>
  <c r="E84" i="1" s="1"/>
  <c r="G83" i="1"/>
  <c r="H83" i="1" s="1"/>
  <c r="E83" i="1"/>
  <c r="E156" i="1"/>
  <c r="G156" i="1"/>
  <c r="H156" i="1" s="1"/>
  <c r="J78" i="1"/>
  <c r="H78" i="1"/>
  <c r="J79" i="1"/>
  <c r="H79" i="1"/>
  <c r="E80" i="1"/>
  <c r="F80" i="1"/>
  <c r="H80" i="1" s="1"/>
  <c r="D56" i="2"/>
  <c r="D57" i="2" s="1"/>
  <c r="C158" i="1"/>
  <c r="E56" i="2"/>
  <c r="N157" i="1"/>
  <c r="D157" i="1"/>
  <c r="A157" i="1"/>
  <c r="G157" i="1" s="1"/>
  <c r="F56" i="2"/>
  <c r="G81" i="1"/>
  <c r="J81" i="1" s="1"/>
  <c r="K29" i="2"/>
  <c r="L29" i="2"/>
  <c r="K132" i="1"/>
  <c r="O29" i="2"/>
  <c r="P29" i="2"/>
  <c r="H155" i="1"/>
  <c r="E81" i="1"/>
  <c r="M28" i="2"/>
  <c r="Q28" i="2"/>
  <c r="U27" i="2" l="1"/>
  <c r="W27" i="2"/>
  <c r="G66" i="2"/>
  <c r="D58" i="2"/>
  <c r="D59" i="2" s="1"/>
  <c r="D60" i="2" s="1"/>
  <c r="C160" i="1"/>
  <c r="G84" i="1"/>
  <c r="F84" i="1"/>
  <c r="J156" i="1"/>
  <c r="E157" i="1"/>
  <c r="E82" i="1"/>
  <c r="F82" i="1"/>
  <c r="J82" i="1" s="1"/>
  <c r="F157" i="1"/>
  <c r="J157" i="1" s="1"/>
  <c r="C86" i="1"/>
  <c r="K86" i="1" s="1"/>
  <c r="E57" i="2"/>
  <c r="C87" i="1"/>
  <c r="K87" i="1" s="1"/>
  <c r="F57" i="2"/>
  <c r="J83" i="1"/>
  <c r="H81" i="1"/>
  <c r="J80" i="1"/>
  <c r="M132" i="1"/>
  <c r="L132" i="1"/>
  <c r="Q132" i="1" s="1"/>
  <c r="L30" i="2"/>
  <c r="K30" i="2"/>
  <c r="K133" i="1"/>
  <c r="A158" i="1"/>
  <c r="E158" i="1" s="1"/>
  <c r="D158" i="1"/>
  <c r="N158" i="1"/>
  <c r="O30" i="2"/>
  <c r="P30" i="2"/>
  <c r="C159" i="1"/>
  <c r="Q29" i="2"/>
  <c r="M29" i="2"/>
  <c r="U28" i="2" l="1"/>
  <c r="W28" i="2"/>
  <c r="O132" i="1"/>
  <c r="P132" i="1"/>
  <c r="H84" i="1"/>
  <c r="C161" i="1"/>
  <c r="J84" i="1"/>
  <c r="N160" i="1"/>
  <c r="A160" i="1"/>
  <c r="E160" i="1" s="1"/>
  <c r="D160" i="1"/>
  <c r="F158" i="1"/>
  <c r="G158" i="1"/>
  <c r="H82" i="1"/>
  <c r="H157" i="1"/>
  <c r="C89" i="1"/>
  <c r="K89" i="1" s="1"/>
  <c r="F58" i="2"/>
  <c r="F59" i="2" s="1"/>
  <c r="N87" i="1"/>
  <c r="D87" i="1"/>
  <c r="A87" i="1"/>
  <c r="E87" i="1" s="1"/>
  <c r="E58" i="2"/>
  <c r="E59" i="2" s="1"/>
  <c r="C88" i="1"/>
  <c r="K88" i="1" s="1"/>
  <c r="A86" i="1"/>
  <c r="G86" i="1" s="1"/>
  <c r="N86" i="1"/>
  <c r="D86" i="1"/>
  <c r="D85" i="1"/>
  <c r="N85" i="1"/>
  <c r="A85" i="1"/>
  <c r="G85" i="1" s="1"/>
  <c r="A159" i="1"/>
  <c r="F159" i="1" s="1"/>
  <c r="N159" i="1"/>
  <c r="D159" i="1"/>
  <c r="M133" i="1"/>
  <c r="L133" i="1"/>
  <c r="Q133" i="1" s="1"/>
  <c r="O31" i="2"/>
  <c r="P31" i="2"/>
  <c r="K31" i="2"/>
  <c r="K134" i="1"/>
  <c r="M134" i="1" s="1"/>
  <c r="L31" i="2"/>
  <c r="M30" i="2"/>
  <c r="Q30" i="2"/>
  <c r="U29" i="2" l="1"/>
  <c r="W29" i="2"/>
  <c r="F160" i="1"/>
  <c r="G160" i="1"/>
  <c r="J160" i="1" s="1"/>
  <c r="O133" i="1"/>
  <c r="P133" i="1"/>
  <c r="D161" i="1"/>
  <c r="A161" i="1"/>
  <c r="E161" i="1" s="1"/>
  <c r="N161" i="1"/>
  <c r="C162" i="1"/>
  <c r="H158" i="1"/>
  <c r="J158" i="1"/>
  <c r="G159" i="1"/>
  <c r="H159" i="1" s="1"/>
  <c r="G87" i="1"/>
  <c r="F87" i="1"/>
  <c r="E159" i="1"/>
  <c r="F86" i="1"/>
  <c r="J86" i="1" s="1"/>
  <c r="E86" i="1"/>
  <c r="C90" i="1"/>
  <c r="K90" i="1" s="1"/>
  <c r="N89" i="1"/>
  <c r="D89" i="1"/>
  <c r="A89" i="1"/>
  <c r="G89" i="1" s="1"/>
  <c r="C91" i="1"/>
  <c r="K91" i="1" s="1"/>
  <c r="N88" i="1"/>
  <c r="A88" i="1"/>
  <c r="G88" i="1" s="1"/>
  <c r="D88" i="1"/>
  <c r="E85" i="1"/>
  <c r="F85" i="1"/>
  <c r="K135" i="1"/>
  <c r="L32" i="2"/>
  <c r="K32" i="2"/>
  <c r="P32" i="2"/>
  <c r="O32" i="2"/>
  <c r="Q31" i="2"/>
  <c r="M31" i="2"/>
  <c r="U30" i="2" l="1"/>
  <c r="W30" i="2"/>
  <c r="H160" i="1"/>
  <c r="F161" i="1"/>
  <c r="N162" i="1"/>
  <c r="D162" i="1"/>
  <c r="A162" i="1"/>
  <c r="F162" i="1" s="1"/>
  <c r="D61" i="2"/>
  <c r="C163" i="1"/>
  <c r="G161" i="1"/>
  <c r="H87" i="1"/>
  <c r="J87" i="1"/>
  <c r="J159" i="1"/>
  <c r="E88" i="1"/>
  <c r="F88" i="1"/>
  <c r="H88" i="1" s="1"/>
  <c r="H86" i="1"/>
  <c r="D90" i="1"/>
  <c r="A90" i="1"/>
  <c r="G90" i="1" s="1"/>
  <c r="N90" i="1"/>
  <c r="E60" i="2"/>
  <c r="C92" i="1"/>
  <c r="K92" i="1" s="1"/>
  <c r="F89" i="1"/>
  <c r="E89" i="1"/>
  <c r="C93" i="1"/>
  <c r="K93" i="1" s="1"/>
  <c r="F60" i="2"/>
  <c r="N91" i="1"/>
  <c r="A91" i="1"/>
  <c r="E91" i="1" s="1"/>
  <c r="D91" i="1"/>
  <c r="M32" i="2"/>
  <c r="H85" i="1"/>
  <c r="J85" i="1"/>
  <c r="P33" i="2"/>
  <c r="O33" i="2"/>
  <c r="M135" i="1"/>
  <c r="L135" i="1"/>
  <c r="Q135" i="1" s="1"/>
  <c r="K136" i="1"/>
  <c r="L33" i="2"/>
  <c r="K33" i="2"/>
  <c r="Q32" i="2"/>
  <c r="U31" i="2" l="1"/>
  <c r="W31" i="2"/>
  <c r="O135" i="1"/>
  <c r="P135" i="1"/>
  <c r="E162" i="1"/>
  <c r="G162" i="1"/>
  <c r="J162" i="1" s="1"/>
  <c r="H161" i="1"/>
  <c r="D163" i="1"/>
  <c r="N163" i="1"/>
  <c r="A163" i="1"/>
  <c r="G163" i="1" s="1"/>
  <c r="D62" i="2"/>
  <c r="C164" i="1"/>
  <c r="J161" i="1"/>
  <c r="G91" i="1"/>
  <c r="F91" i="1"/>
  <c r="J88" i="1"/>
  <c r="E61" i="2"/>
  <c r="C94" i="1"/>
  <c r="K94" i="1" s="1"/>
  <c r="F90" i="1"/>
  <c r="E90" i="1"/>
  <c r="H89" i="1"/>
  <c r="J89" i="1"/>
  <c r="C95" i="1"/>
  <c r="K95" i="1" s="1"/>
  <c r="F61" i="2"/>
  <c r="A92" i="1"/>
  <c r="G92" i="1" s="1"/>
  <c r="N92" i="1"/>
  <c r="D92" i="1"/>
  <c r="A93" i="1"/>
  <c r="F93" i="1" s="1"/>
  <c r="N93" i="1"/>
  <c r="D93" i="1"/>
  <c r="M136" i="1"/>
  <c r="L136" i="1"/>
  <c r="Q136" i="1" s="1"/>
  <c r="L34" i="2"/>
  <c r="K137" i="1"/>
  <c r="K34" i="2"/>
  <c r="P34" i="2"/>
  <c r="O34" i="2"/>
  <c r="M33" i="2"/>
  <c r="Q33" i="2"/>
  <c r="U32" i="2" l="1"/>
  <c r="W32" i="2"/>
  <c r="O136" i="1"/>
  <c r="P136" i="1"/>
  <c r="F163" i="1"/>
  <c r="J163" i="1" s="1"/>
  <c r="E163" i="1"/>
  <c r="H162" i="1"/>
  <c r="N164" i="1"/>
  <c r="A164" i="1"/>
  <c r="F164" i="1" s="1"/>
  <c r="D164" i="1"/>
  <c r="D63" i="2"/>
  <c r="C165" i="1"/>
  <c r="J91" i="1"/>
  <c r="G93" i="1"/>
  <c r="H93" i="1" s="1"/>
  <c r="E93" i="1"/>
  <c r="H91" i="1"/>
  <c r="C97" i="1"/>
  <c r="K97" i="1" s="1"/>
  <c r="F62" i="2"/>
  <c r="F92" i="1"/>
  <c r="H90" i="1"/>
  <c r="J90" i="1"/>
  <c r="A94" i="1"/>
  <c r="E94" i="1" s="1"/>
  <c r="N94" i="1"/>
  <c r="D94" i="1"/>
  <c r="A95" i="1"/>
  <c r="F95" i="1" s="1"/>
  <c r="D95" i="1"/>
  <c r="N95" i="1"/>
  <c r="E92" i="1"/>
  <c r="E62" i="2"/>
  <c r="C96" i="1"/>
  <c r="K96" i="1" s="1"/>
  <c r="M34" i="2"/>
  <c r="M137" i="1"/>
  <c r="L137" i="1"/>
  <c r="Q137" i="1" s="1"/>
  <c r="P35" i="2"/>
  <c r="O35" i="2"/>
  <c r="L35" i="2"/>
  <c r="K35" i="2"/>
  <c r="K138" i="1"/>
  <c r="M138" i="1" s="1"/>
  <c r="Q34" i="2"/>
  <c r="U33" i="2" l="1"/>
  <c r="W33" i="2"/>
  <c r="D64" i="2"/>
  <c r="O137" i="1"/>
  <c r="P137" i="1"/>
  <c r="H163" i="1"/>
  <c r="A165" i="1"/>
  <c r="E165" i="1" s="1"/>
  <c r="N165" i="1"/>
  <c r="D165" i="1"/>
  <c r="C166" i="1"/>
  <c r="G164" i="1"/>
  <c r="H164" i="1" s="1"/>
  <c r="E164" i="1"/>
  <c r="J93" i="1"/>
  <c r="G94" i="1"/>
  <c r="F94" i="1"/>
  <c r="E95" i="1"/>
  <c r="G95" i="1"/>
  <c r="H95" i="1" s="1"/>
  <c r="H92" i="1"/>
  <c r="J92" i="1"/>
  <c r="A96" i="1"/>
  <c r="F96" i="1" s="1"/>
  <c r="N96" i="1"/>
  <c r="D96" i="1"/>
  <c r="E63" i="2"/>
  <c r="E64" i="2" s="1"/>
  <c r="C98" i="1"/>
  <c r="K98" i="1" s="1"/>
  <c r="C99" i="1"/>
  <c r="K99" i="1" s="1"/>
  <c r="F63" i="2"/>
  <c r="D97" i="1"/>
  <c r="N97" i="1"/>
  <c r="A97" i="1"/>
  <c r="G97" i="1" s="1"/>
  <c r="M35" i="2"/>
  <c r="K36" i="2"/>
  <c r="K139" i="1"/>
  <c r="M139" i="1" s="1"/>
  <c r="L36" i="2"/>
  <c r="O36" i="2"/>
  <c r="P36" i="2"/>
  <c r="C38" i="3"/>
  <c r="Q35" i="2"/>
  <c r="C102" i="1" l="1"/>
  <c r="K102" i="1" s="1"/>
  <c r="E65" i="2"/>
  <c r="U34" i="2"/>
  <c r="W34" i="2"/>
  <c r="C167" i="1"/>
  <c r="D65" i="2"/>
  <c r="C101" i="1"/>
  <c r="K101" i="1" s="1"/>
  <c r="F64" i="2"/>
  <c r="H94" i="1"/>
  <c r="G165" i="1"/>
  <c r="D166" i="1"/>
  <c r="N166" i="1"/>
  <c r="A166" i="1"/>
  <c r="G166" i="1" s="1"/>
  <c r="F165" i="1"/>
  <c r="J164" i="1"/>
  <c r="J94" i="1"/>
  <c r="G96" i="1"/>
  <c r="H96" i="1" s="1"/>
  <c r="F97" i="1"/>
  <c r="H97" i="1" s="1"/>
  <c r="A101" i="1"/>
  <c r="E101" i="1" s="1"/>
  <c r="N101" i="1"/>
  <c r="D101" i="1"/>
  <c r="D98" i="1"/>
  <c r="N98" i="1"/>
  <c r="A98" i="1"/>
  <c r="G98" i="1" s="1"/>
  <c r="C100" i="1"/>
  <c r="K100" i="1" s="1"/>
  <c r="E97" i="1"/>
  <c r="E96" i="1"/>
  <c r="J95" i="1"/>
  <c r="N99" i="1"/>
  <c r="A99" i="1"/>
  <c r="E99" i="1" s="1"/>
  <c r="D99" i="1"/>
  <c r="K37" i="2"/>
  <c r="K140" i="1"/>
  <c r="M140" i="1" s="1"/>
  <c r="L37" i="2"/>
  <c r="O37" i="2"/>
  <c r="P37" i="2"/>
  <c r="C193" i="1"/>
  <c r="F38" i="3"/>
  <c r="I38" i="3" s="1"/>
  <c r="D38" i="3"/>
  <c r="C39" i="3"/>
  <c r="M36" i="2"/>
  <c r="Q36" i="2"/>
  <c r="C103" i="1" l="1"/>
  <c r="K103" i="1" s="1"/>
  <c r="F65" i="2"/>
  <c r="U35" i="2"/>
  <c r="W35" i="2"/>
  <c r="C104" i="1"/>
  <c r="K104" i="1" s="1"/>
  <c r="E66" i="2"/>
  <c r="C106" i="1" s="1"/>
  <c r="K106" i="1" s="1"/>
  <c r="C168" i="1"/>
  <c r="D66" i="2"/>
  <c r="N167" i="1"/>
  <c r="A167" i="1"/>
  <c r="F167" i="1" s="1"/>
  <c r="D167" i="1"/>
  <c r="G167" i="1"/>
  <c r="H167" i="1" s="1"/>
  <c r="N102" i="1"/>
  <c r="A102" i="1"/>
  <c r="F102" i="1" s="1"/>
  <c r="D102" i="1"/>
  <c r="G102" i="1"/>
  <c r="H165" i="1"/>
  <c r="J165" i="1"/>
  <c r="E166" i="1"/>
  <c r="F166" i="1"/>
  <c r="E98" i="1"/>
  <c r="G99" i="1"/>
  <c r="F99" i="1"/>
  <c r="F101" i="1"/>
  <c r="J96" i="1"/>
  <c r="J97" i="1"/>
  <c r="G101" i="1"/>
  <c r="F98" i="1"/>
  <c r="H98" i="1" s="1"/>
  <c r="N100" i="1"/>
  <c r="D100" i="1"/>
  <c r="A100" i="1"/>
  <c r="E100" i="1" s="1"/>
  <c r="K141" i="1"/>
  <c r="M141" i="1" s="1"/>
  <c r="L38" i="2"/>
  <c r="K38" i="2"/>
  <c r="O38" i="2"/>
  <c r="P38" i="2"/>
  <c r="A193" i="1"/>
  <c r="N193" i="1"/>
  <c r="C194" i="1"/>
  <c r="N194" i="1" s="1"/>
  <c r="F39" i="3"/>
  <c r="I39" i="3" s="1"/>
  <c r="C40" i="3"/>
  <c r="D39" i="3"/>
  <c r="E193" i="1"/>
  <c r="D193" i="1"/>
  <c r="G193" i="1"/>
  <c r="F193" i="1"/>
  <c r="J193" i="1" s="1"/>
  <c r="K193" i="1"/>
  <c r="M193" i="1" s="1"/>
  <c r="H38" i="3"/>
  <c r="J38" i="3" s="1"/>
  <c r="G38" i="3"/>
  <c r="C217" i="1"/>
  <c r="N217" i="1" s="1"/>
  <c r="M37" i="2"/>
  <c r="Q37" i="2"/>
  <c r="J102" i="1" l="1"/>
  <c r="J167" i="1"/>
  <c r="E102" i="1"/>
  <c r="C169" i="1"/>
  <c r="C20" i="3"/>
  <c r="C105" i="1"/>
  <c r="K105" i="1" s="1"/>
  <c r="F66" i="2"/>
  <c r="C107" i="1" s="1"/>
  <c r="K107" i="1" s="1"/>
  <c r="U36" i="2"/>
  <c r="W36" i="2"/>
  <c r="N168" i="1"/>
  <c r="A168" i="1"/>
  <c r="F168" i="1" s="1"/>
  <c r="D168" i="1"/>
  <c r="A106" i="1"/>
  <c r="E106" i="1" s="1"/>
  <c r="N106" i="1"/>
  <c r="D106" i="1"/>
  <c r="D104" i="1"/>
  <c r="A104" i="1"/>
  <c r="G104" i="1" s="1"/>
  <c r="N104" i="1"/>
  <c r="F104" i="1"/>
  <c r="H104" i="1" s="1"/>
  <c r="E104" i="1"/>
  <c r="H102" i="1"/>
  <c r="E167" i="1"/>
  <c r="N103" i="1"/>
  <c r="D103" i="1"/>
  <c r="A103" i="1"/>
  <c r="E103" i="1" s="1"/>
  <c r="H166" i="1"/>
  <c r="J166" i="1"/>
  <c r="J99" i="1"/>
  <c r="J101" i="1"/>
  <c r="H99" i="1"/>
  <c r="F100" i="1"/>
  <c r="G100" i="1"/>
  <c r="J98" i="1"/>
  <c r="H101" i="1"/>
  <c r="O39" i="2"/>
  <c r="P39" i="2"/>
  <c r="K142" i="1"/>
  <c r="M142" i="1" s="1"/>
  <c r="L39" i="2"/>
  <c r="K39" i="2"/>
  <c r="J194" i="1"/>
  <c r="A194" i="1"/>
  <c r="J217" i="1"/>
  <c r="F217" i="1"/>
  <c r="A217" i="1"/>
  <c r="G217" i="1"/>
  <c r="H193" i="1"/>
  <c r="G39" i="3"/>
  <c r="C218" i="1"/>
  <c r="N218" i="1" s="1"/>
  <c r="C195" i="1"/>
  <c r="N195" i="1" s="1"/>
  <c r="D40" i="3"/>
  <c r="C41" i="3"/>
  <c r="F40" i="3"/>
  <c r="I40" i="3" s="1"/>
  <c r="E217" i="1"/>
  <c r="D217" i="1"/>
  <c r="K217" i="1"/>
  <c r="H39" i="3"/>
  <c r="J39" i="3" s="1"/>
  <c r="L38" i="3"/>
  <c r="K38" i="3"/>
  <c r="F194" i="1"/>
  <c r="K194" i="1"/>
  <c r="M194" i="1" s="1"/>
  <c r="D194" i="1"/>
  <c r="G194" i="1"/>
  <c r="E194" i="1"/>
  <c r="L193" i="1"/>
  <c r="Q193" i="1" s="1"/>
  <c r="M38" i="2"/>
  <c r="Q38" i="2"/>
  <c r="J104" i="1" l="1"/>
  <c r="G168" i="1"/>
  <c r="J168" i="1" s="1"/>
  <c r="F103" i="1"/>
  <c r="G103" i="1"/>
  <c r="E168" i="1"/>
  <c r="G106" i="1"/>
  <c r="A107" i="1"/>
  <c r="E107" i="1" s="1"/>
  <c r="N107" i="1"/>
  <c r="D107" i="1"/>
  <c r="F107" i="1"/>
  <c r="G107" i="1"/>
  <c r="J107" i="1"/>
  <c r="F106" i="1"/>
  <c r="D105" i="1"/>
  <c r="N105" i="1"/>
  <c r="A105" i="1"/>
  <c r="E105" i="1" s="1"/>
  <c r="U37" i="2"/>
  <c r="W37" i="2"/>
  <c r="A169" i="1"/>
  <c r="G169" i="1" s="1"/>
  <c r="N169" i="1"/>
  <c r="D169" i="1"/>
  <c r="E169" i="1"/>
  <c r="O193" i="1"/>
  <c r="P193" i="1"/>
  <c r="J100" i="1"/>
  <c r="H100" i="1"/>
  <c r="M39" i="2"/>
  <c r="P40" i="2"/>
  <c r="O40" i="2"/>
  <c r="L40" i="2"/>
  <c r="K40" i="2"/>
  <c r="K143" i="1"/>
  <c r="M143" i="1" s="1"/>
  <c r="G218" i="1"/>
  <c r="F218" i="1"/>
  <c r="J218" i="1"/>
  <c r="A218" i="1"/>
  <c r="H217" i="1"/>
  <c r="L194" i="1"/>
  <c r="Q194" i="1" s="1"/>
  <c r="J195" i="1"/>
  <c r="A195" i="1"/>
  <c r="M38" i="3"/>
  <c r="L217" i="1"/>
  <c r="Q217" i="1" s="1"/>
  <c r="M217" i="1"/>
  <c r="H194" i="1"/>
  <c r="G40" i="3"/>
  <c r="C219" i="1"/>
  <c r="N219" i="1" s="1"/>
  <c r="G195" i="1"/>
  <c r="D195" i="1"/>
  <c r="K195" i="1"/>
  <c r="M195" i="1" s="1"/>
  <c r="F195" i="1"/>
  <c r="E195" i="1"/>
  <c r="H40" i="3"/>
  <c r="J40" i="3" s="1"/>
  <c r="C196" i="1"/>
  <c r="N196" i="1" s="1"/>
  <c r="D41" i="3"/>
  <c r="C42" i="3"/>
  <c r="F41" i="3"/>
  <c r="I41" i="3" s="1"/>
  <c r="E218" i="1"/>
  <c r="K218" i="1"/>
  <c r="D218" i="1"/>
  <c r="L39" i="3"/>
  <c r="K39" i="3"/>
  <c r="Q39" i="2"/>
  <c r="F169" i="1" l="1"/>
  <c r="J103" i="1"/>
  <c r="H168" i="1"/>
  <c r="H103" i="1"/>
  <c r="J169" i="1"/>
  <c r="H169" i="1"/>
  <c r="H107" i="1"/>
  <c r="U38" i="2"/>
  <c r="W38" i="2"/>
  <c r="H106" i="1"/>
  <c r="J106" i="1"/>
  <c r="G105" i="1"/>
  <c r="F105" i="1"/>
  <c r="O217" i="1"/>
  <c r="P217" i="1"/>
  <c r="O194" i="1"/>
  <c r="P194" i="1"/>
  <c r="C182" i="1"/>
  <c r="D27" i="3"/>
  <c r="O41" i="2"/>
  <c r="P41" i="2"/>
  <c r="L41" i="2"/>
  <c r="K41" i="2"/>
  <c r="K144" i="1"/>
  <c r="M144" i="1" s="1"/>
  <c r="H218" i="1"/>
  <c r="J196" i="1"/>
  <c r="A196" i="1"/>
  <c r="F219" i="1"/>
  <c r="G219" i="1"/>
  <c r="J219" i="1"/>
  <c r="A219" i="1"/>
  <c r="M39" i="3"/>
  <c r="H195" i="1"/>
  <c r="L218" i="1"/>
  <c r="Q218" i="1" s="1"/>
  <c r="M218" i="1"/>
  <c r="L195" i="1"/>
  <c r="Q195" i="1" s="1"/>
  <c r="F42" i="3"/>
  <c r="I42" i="3" s="1"/>
  <c r="H41" i="3"/>
  <c r="J41" i="3" s="1"/>
  <c r="E219" i="1"/>
  <c r="K219" i="1"/>
  <c r="D219" i="1"/>
  <c r="C197" i="1"/>
  <c r="N197" i="1" s="1"/>
  <c r="C43" i="3"/>
  <c r="D42" i="3"/>
  <c r="L40" i="3"/>
  <c r="K40" i="3"/>
  <c r="G41" i="3"/>
  <c r="C220" i="1"/>
  <c r="N220" i="1" s="1"/>
  <c r="E196" i="1"/>
  <c r="K196" i="1"/>
  <c r="M196" i="1" s="1"/>
  <c r="D196" i="1"/>
  <c r="F196" i="1"/>
  <c r="G196" i="1"/>
  <c r="M40" i="2"/>
  <c r="Q40" i="2"/>
  <c r="H105" i="1" l="1"/>
  <c r="J105" i="1"/>
  <c r="U39" i="2"/>
  <c r="W39" i="2"/>
  <c r="M41" i="2"/>
  <c r="Q14" i="3" s="1"/>
  <c r="O218" i="1"/>
  <c r="P218" i="1"/>
  <c r="O195" i="1"/>
  <c r="P195" i="1"/>
  <c r="C206" i="1"/>
  <c r="N206" i="1" s="1"/>
  <c r="K42" i="2"/>
  <c r="L42" i="2"/>
  <c r="K145" i="1"/>
  <c r="T145" i="1" s="1"/>
  <c r="P42" i="2"/>
  <c r="O42" i="2"/>
  <c r="D182" i="1"/>
  <c r="A182" i="1"/>
  <c r="F182" i="1" s="1"/>
  <c r="N182" i="1"/>
  <c r="D28" i="3"/>
  <c r="C183" i="1"/>
  <c r="J220" i="1"/>
  <c r="A220" i="1"/>
  <c r="G220" i="1"/>
  <c r="F220" i="1"/>
  <c r="J197" i="1"/>
  <c r="A197" i="1"/>
  <c r="H219" i="1"/>
  <c r="L219" i="1"/>
  <c r="Q219" i="1" s="1"/>
  <c r="M219" i="1"/>
  <c r="M40" i="3"/>
  <c r="H196" i="1"/>
  <c r="D197" i="1"/>
  <c r="G197" i="1"/>
  <c r="F197" i="1"/>
  <c r="E197" i="1"/>
  <c r="K197" i="1"/>
  <c r="M197" i="1" s="1"/>
  <c r="K220" i="1"/>
  <c r="D220" i="1"/>
  <c r="E220" i="1"/>
  <c r="L196" i="1"/>
  <c r="Q196" i="1" s="1"/>
  <c r="L41" i="3"/>
  <c r="K41" i="3"/>
  <c r="H42" i="3"/>
  <c r="J42" i="3" s="1"/>
  <c r="G42" i="3"/>
  <c r="C221" i="1"/>
  <c r="N221" i="1" s="1"/>
  <c r="C198" i="1"/>
  <c r="N198" i="1" s="1"/>
  <c r="F43" i="3"/>
  <c r="I43" i="3" s="1"/>
  <c r="D43" i="3"/>
  <c r="Q41" i="2"/>
  <c r="U40" i="2" l="1"/>
  <c r="W40" i="2"/>
  <c r="O219" i="1"/>
  <c r="P219" i="1"/>
  <c r="O196" i="1"/>
  <c r="P196" i="1"/>
  <c r="A206" i="1"/>
  <c r="G206" i="1" s="1"/>
  <c r="D206" i="1"/>
  <c r="C207" i="1"/>
  <c r="N207" i="1" s="1"/>
  <c r="E182" i="1"/>
  <c r="G182" i="1"/>
  <c r="J182" i="1" s="1"/>
  <c r="F206" i="1"/>
  <c r="J206" i="1" s="1"/>
  <c r="O43" i="2"/>
  <c r="P43" i="2"/>
  <c r="D29" i="3"/>
  <c r="C184" i="1"/>
  <c r="M145" i="1"/>
  <c r="L145" i="1"/>
  <c r="K43" i="2"/>
  <c r="L43" i="2"/>
  <c r="K146" i="1"/>
  <c r="A183" i="1"/>
  <c r="G183" i="1" s="1"/>
  <c r="N183" i="1"/>
  <c r="D183" i="1"/>
  <c r="H220" i="1"/>
  <c r="J198" i="1"/>
  <c r="A198" i="1"/>
  <c r="J221" i="1"/>
  <c r="A221" i="1"/>
  <c r="G221" i="1"/>
  <c r="F221" i="1"/>
  <c r="L220" i="1"/>
  <c r="Q220" i="1" s="1"/>
  <c r="M220" i="1"/>
  <c r="M41" i="3"/>
  <c r="H197" i="1"/>
  <c r="D198" i="1"/>
  <c r="F198" i="1"/>
  <c r="G198" i="1"/>
  <c r="E198" i="1"/>
  <c r="K198" i="1"/>
  <c r="M198" i="1" s="1"/>
  <c r="G43" i="3"/>
  <c r="C222" i="1"/>
  <c r="N222" i="1" s="1"/>
  <c r="H43" i="3"/>
  <c r="J43" i="3" s="1"/>
  <c r="D221" i="1"/>
  <c r="K221" i="1"/>
  <c r="E221" i="1"/>
  <c r="K42" i="3"/>
  <c r="L42" i="3"/>
  <c r="L197" i="1"/>
  <c r="Q197" i="1" s="1"/>
  <c r="M42" i="2"/>
  <c r="Q42" i="2"/>
  <c r="W42" i="2" s="1"/>
  <c r="E206" i="1" l="1"/>
  <c r="Q145" i="1"/>
  <c r="U145" i="1"/>
  <c r="U41" i="2"/>
  <c r="W41" i="2"/>
  <c r="O145" i="1"/>
  <c r="P145" i="1"/>
  <c r="O197" i="1"/>
  <c r="P197" i="1"/>
  <c r="O220" i="1"/>
  <c r="P220" i="1"/>
  <c r="A207" i="1"/>
  <c r="E207" i="1" s="1"/>
  <c r="D207" i="1"/>
  <c r="C208" i="1"/>
  <c r="N208" i="1" s="1"/>
  <c r="H182" i="1"/>
  <c r="H206" i="1"/>
  <c r="F183" i="1"/>
  <c r="H183" i="1" s="1"/>
  <c r="E183" i="1"/>
  <c r="L44" i="2"/>
  <c r="K44" i="2"/>
  <c r="K147" i="1"/>
  <c r="D30" i="3"/>
  <c r="C185" i="1"/>
  <c r="A184" i="1"/>
  <c r="G184" i="1" s="1"/>
  <c r="N184" i="1"/>
  <c r="D184" i="1"/>
  <c r="M146" i="1"/>
  <c r="L146" i="1"/>
  <c r="Q146" i="1" s="1"/>
  <c r="P44" i="2"/>
  <c r="O44" i="2"/>
  <c r="J222" i="1"/>
  <c r="G222" i="1"/>
  <c r="A222" i="1"/>
  <c r="F222" i="1"/>
  <c r="H221" i="1"/>
  <c r="L221" i="1"/>
  <c r="Q221" i="1" s="1"/>
  <c r="M221" i="1"/>
  <c r="H198" i="1"/>
  <c r="E222" i="1"/>
  <c r="K222" i="1"/>
  <c r="D222" i="1"/>
  <c r="M42" i="3"/>
  <c r="L198" i="1"/>
  <c r="Q198" i="1" s="1"/>
  <c r="K43" i="3"/>
  <c r="L43" i="3"/>
  <c r="Q43" i="2"/>
  <c r="W43" i="2" s="1"/>
  <c r="M43" i="2"/>
  <c r="U42" i="2"/>
  <c r="O221" i="1" l="1"/>
  <c r="P221" i="1"/>
  <c r="O198" i="1"/>
  <c r="P198" i="1"/>
  <c r="O146" i="1"/>
  <c r="P146" i="1"/>
  <c r="F207" i="1"/>
  <c r="J207" i="1" s="1"/>
  <c r="A208" i="1"/>
  <c r="E208" i="1" s="1"/>
  <c r="D208" i="1"/>
  <c r="G207" i="1"/>
  <c r="C209" i="1"/>
  <c r="A209" i="1" s="1"/>
  <c r="E209" i="1" s="1"/>
  <c r="E184" i="1"/>
  <c r="J183" i="1"/>
  <c r="F184" i="1"/>
  <c r="J184" i="1" s="1"/>
  <c r="M147" i="1"/>
  <c r="L147" i="1"/>
  <c r="Q147" i="1" s="1"/>
  <c r="F208" i="1"/>
  <c r="L45" i="2"/>
  <c r="K45" i="2"/>
  <c r="K148" i="1"/>
  <c r="N185" i="1"/>
  <c r="D185" i="1"/>
  <c r="A185" i="1"/>
  <c r="F185" i="1" s="1"/>
  <c r="P45" i="2"/>
  <c r="O45" i="2"/>
  <c r="D31" i="3"/>
  <c r="C186" i="1"/>
  <c r="H222" i="1"/>
  <c r="L222" i="1"/>
  <c r="Q222" i="1" s="1"/>
  <c r="M222" i="1"/>
  <c r="M43" i="3"/>
  <c r="M44" i="2"/>
  <c r="U43" i="2"/>
  <c r="Q44" i="2"/>
  <c r="W44" i="2" s="1"/>
  <c r="O147" i="1" l="1"/>
  <c r="P147" i="1"/>
  <c r="O222" i="1"/>
  <c r="P222" i="1"/>
  <c r="D209" i="1"/>
  <c r="N209" i="1"/>
  <c r="H207" i="1"/>
  <c r="G208" i="1"/>
  <c r="H208" i="1" s="1"/>
  <c r="C210" i="1"/>
  <c r="N210" i="1" s="1"/>
  <c r="F209" i="1"/>
  <c r="G209" i="1"/>
  <c r="H184" i="1"/>
  <c r="D186" i="1"/>
  <c r="A186" i="1"/>
  <c r="E186" i="1" s="1"/>
  <c r="N186" i="1"/>
  <c r="M148" i="1"/>
  <c r="L148" i="1"/>
  <c r="Q148" i="1" s="1"/>
  <c r="D32" i="3"/>
  <c r="C187" i="1"/>
  <c r="J208" i="1"/>
  <c r="G185" i="1"/>
  <c r="H185" i="1" s="1"/>
  <c r="P46" i="2"/>
  <c r="O46" i="2"/>
  <c r="L46" i="2"/>
  <c r="K46" i="2"/>
  <c r="K149" i="1"/>
  <c r="E185" i="1"/>
  <c r="U44" i="2"/>
  <c r="M45" i="2"/>
  <c r="Q45" i="2"/>
  <c r="Q46" i="2" l="1"/>
  <c r="W46" i="2" s="1"/>
  <c r="P148" i="1"/>
  <c r="A210" i="1"/>
  <c r="F210" i="1" s="1"/>
  <c r="D210" i="1"/>
  <c r="C211" i="1"/>
  <c r="A211" i="1" s="1"/>
  <c r="G211" i="1" s="1"/>
  <c r="J209" i="1"/>
  <c r="H209" i="1"/>
  <c r="G210" i="1"/>
  <c r="G186" i="1"/>
  <c r="E210" i="1"/>
  <c r="M149" i="1"/>
  <c r="L149" i="1"/>
  <c r="Q149" i="1" s="1"/>
  <c r="L47" i="2"/>
  <c r="K47" i="2"/>
  <c r="K150" i="1"/>
  <c r="O148" i="1"/>
  <c r="D33" i="3"/>
  <c r="C34" i="3"/>
  <c r="C188" i="1"/>
  <c r="O47" i="2"/>
  <c r="P47" i="2"/>
  <c r="M46" i="2"/>
  <c r="U46" i="2" s="1"/>
  <c r="N187" i="1"/>
  <c r="D187" i="1"/>
  <c r="A187" i="1"/>
  <c r="E187" i="1" s="1"/>
  <c r="F186" i="1"/>
  <c r="J185" i="1"/>
  <c r="W45" i="2"/>
  <c r="O149" i="1" l="1"/>
  <c r="P149" i="1"/>
  <c r="D211" i="1"/>
  <c r="N211" i="1"/>
  <c r="H210" i="1"/>
  <c r="C212" i="1"/>
  <c r="N212" i="1" s="1"/>
  <c r="J210" i="1"/>
  <c r="H186" i="1"/>
  <c r="F187" i="1"/>
  <c r="K48" i="2"/>
  <c r="L48" i="2"/>
  <c r="M48" i="2" s="1"/>
  <c r="K151" i="1"/>
  <c r="M150" i="1"/>
  <c r="L150" i="1"/>
  <c r="Q150" i="1" s="1"/>
  <c r="O48" i="2"/>
  <c r="P48" i="2"/>
  <c r="E211" i="1"/>
  <c r="F211" i="1"/>
  <c r="A188" i="1"/>
  <c r="E188" i="1" s="1"/>
  <c r="N188" i="1"/>
  <c r="D188" i="1"/>
  <c r="C35" i="3"/>
  <c r="D34" i="3"/>
  <c r="C189" i="1"/>
  <c r="F34" i="3"/>
  <c r="J186" i="1"/>
  <c r="M47" i="2"/>
  <c r="G187" i="1"/>
  <c r="Q47" i="2"/>
  <c r="U45" i="2"/>
  <c r="P150" i="1" l="1"/>
  <c r="D212" i="1"/>
  <c r="A212" i="1"/>
  <c r="E212" i="1" s="1"/>
  <c r="J187" i="1"/>
  <c r="H211" i="1"/>
  <c r="J211" i="1"/>
  <c r="N189" i="1"/>
  <c r="K189" i="1"/>
  <c r="M189" i="1" s="1"/>
  <c r="D189" i="1"/>
  <c r="A189" i="1"/>
  <c r="E189" i="1" s="1"/>
  <c r="C213" i="1"/>
  <c r="G34" i="3"/>
  <c r="H187" i="1"/>
  <c r="M151" i="1"/>
  <c r="L151" i="1"/>
  <c r="Q151" i="1" s="1"/>
  <c r="F212" i="1"/>
  <c r="G188" i="1"/>
  <c r="I34" i="3"/>
  <c r="H34" i="3"/>
  <c r="J34" i="3" s="1"/>
  <c r="O49" i="2"/>
  <c r="P49" i="2"/>
  <c r="O150" i="1"/>
  <c r="G212" i="1"/>
  <c r="K49" i="2"/>
  <c r="L49" i="2"/>
  <c r="K152" i="1"/>
  <c r="C36" i="3"/>
  <c r="D35" i="3"/>
  <c r="C190" i="1"/>
  <c r="F35" i="3"/>
  <c r="F188" i="1"/>
  <c r="Q48" i="2"/>
  <c r="U47" i="2" l="1"/>
  <c r="W47" i="2"/>
  <c r="O151" i="1"/>
  <c r="P151" i="1"/>
  <c r="F189" i="1"/>
  <c r="J212" i="1"/>
  <c r="A213" i="1"/>
  <c r="F213" i="1" s="1"/>
  <c r="K213" i="1"/>
  <c r="M213" i="1" s="1"/>
  <c r="N213" i="1"/>
  <c r="D213" i="1"/>
  <c r="N190" i="1"/>
  <c r="K190" i="1"/>
  <c r="M190" i="1" s="1"/>
  <c r="A190" i="1"/>
  <c r="E190" i="1" s="1"/>
  <c r="D190" i="1"/>
  <c r="P50" i="2"/>
  <c r="O50" i="2"/>
  <c r="G189" i="1"/>
  <c r="H212" i="1"/>
  <c r="M152" i="1"/>
  <c r="L152" i="1"/>
  <c r="Q152" i="1" s="1"/>
  <c r="L50" i="2"/>
  <c r="K50" i="2"/>
  <c r="K153" i="1"/>
  <c r="G35" i="3"/>
  <c r="C214" i="1"/>
  <c r="C191" i="1"/>
  <c r="C37" i="3"/>
  <c r="D36" i="3"/>
  <c r="F36" i="3"/>
  <c r="M49" i="2"/>
  <c r="K34" i="3"/>
  <c r="L34" i="3"/>
  <c r="H188" i="1"/>
  <c r="J188" i="1"/>
  <c r="I35" i="3"/>
  <c r="H35" i="3"/>
  <c r="J35" i="3" s="1"/>
  <c r="Q49" i="2"/>
  <c r="U48" i="2" l="1"/>
  <c r="W48" i="2"/>
  <c r="P152" i="1"/>
  <c r="J189" i="1"/>
  <c r="L189" i="1" s="1"/>
  <c r="Q189" i="1" s="1"/>
  <c r="E213" i="1"/>
  <c r="G213" i="1"/>
  <c r="J213" i="1" s="1"/>
  <c r="L213" i="1" s="1"/>
  <c r="Q213" i="1" s="1"/>
  <c r="M50" i="2"/>
  <c r="G190" i="1"/>
  <c r="D37" i="3"/>
  <c r="C192" i="1"/>
  <c r="F37" i="3"/>
  <c r="N191" i="1"/>
  <c r="K191" i="1"/>
  <c r="M191" i="1" s="1"/>
  <c r="D191" i="1"/>
  <c r="A191" i="1"/>
  <c r="G191" i="1" s="1"/>
  <c r="D214" i="1"/>
  <c r="N214" i="1"/>
  <c r="A214" i="1"/>
  <c r="F214" i="1" s="1"/>
  <c r="K214" i="1"/>
  <c r="M214" i="1" s="1"/>
  <c r="M153" i="1"/>
  <c r="L153" i="1"/>
  <c r="Q153" i="1" s="1"/>
  <c r="C215" i="1"/>
  <c r="G36" i="3"/>
  <c r="H189" i="1"/>
  <c r="O152" i="1"/>
  <c r="I36" i="3"/>
  <c r="H36" i="3"/>
  <c r="J36" i="3" s="1"/>
  <c r="L35" i="3"/>
  <c r="K35" i="3"/>
  <c r="O51" i="2"/>
  <c r="P51" i="2"/>
  <c r="L51" i="2"/>
  <c r="K51" i="2"/>
  <c r="K154" i="1"/>
  <c r="M34" i="3"/>
  <c r="F190" i="1"/>
  <c r="Q50" i="2"/>
  <c r="U49" i="2" l="1"/>
  <c r="W49" i="2"/>
  <c r="O153" i="1"/>
  <c r="P153" i="1"/>
  <c r="O213" i="1"/>
  <c r="O189" i="1"/>
  <c r="P189" i="1"/>
  <c r="H213" i="1"/>
  <c r="P213" i="1" s="1"/>
  <c r="E191" i="1"/>
  <c r="M35" i="3"/>
  <c r="F191" i="1"/>
  <c r="J191" i="1" s="1"/>
  <c r="L191" i="1" s="1"/>
  <c r="Q191" i="1" s="1"/>
  <c r="K52" i="2"/>
  <c r="L52" i="2"/>
  <c r="K155" i="1"/>
  <c r="L36" i="3"/>
  <c r="K36" i="3"/>
  <c r="A192" i="1"/>
  <c r="G192" i="1" s="1"/>
  <c r="N192" i="1"/>
  <c r="K192" i="1"/>
  <c r="M192" i="1" s="1"/>
  <c r="D192" i="1"/>
  <c r="G37" i="3"/>
  <c r="C216" i="1"/>
  <c r="M154" i="1"/>
  <c r="L154" i="1"/>
  <c r="Q154" i="1" s="1"/>
  <c r="M51" i="2"/>
  <c r="P52" i="2"/>
  <c r="O52" i="2"/>
  <c r="D215" i="1"/>
  <c r="N215" i="1"/>
  <c r="K215" i="1"/>
  <c r="M215" i="1" s="1"/>
  <c r="A215" i="1"/>
  <c r="F215" i="1" s="1"/>
  <c r="H190" i="1"/>
  <c r="J190" i="1"/>
  <c r="L190" i="1" s="1"/>
  <c r="Q190" i="1" s="1"/>
  <c r="E214" i="1"/>
  <c r="G214" i="1"/>
  <c r="H214" i="1" s="1"/>
  <c r="I37" i="3"/>
  <c r="H37" i="3"/>
  <c r="Q51" i="2"/>
  <c r="U50" i="2" l="1"/>
  <c r="W50" i="2"/>
  <c r="J37" i="3"/>
  <c r="P154" i="1"/>
  <c r="P190" i="1"/>
  <c r="O191" i="1"/>
  <c r="M36" i="3"/>
  <c r="P54" i="2"/>
  <c r="O54" i="2"/>
  <c r="L54" i="2"/>
  <c r="K54" i="2"/>
  <c r="K157" i="1"/>
  <c r="H191" i="1"/>
  <c r="P191" i="1" s="1"/>
  <c r="M52" i="2"/>
  <c r="G215" i="1"/>
  <c r="J215" i="1" s="1"/>
  <c r="L215" i="1" s="1"/>
  <c r="Q215" i="1" s="1"/>
  <c r="E215" i="1"/>
  <c r="K216" i="1"/>
  <c r="M216" i="1" s="1"/>
  <c r="A216" i="1"/>
  <c r="N216" i="1"/>
  <c r="D216" i="1"/>
  <c r="L37" i="3"/>
  <c r="K37" i="3"/>
  <c r="M155" i="1"/>
  <c r="L155" i="1"/>
  <c r="Q155" i="1" s="1"/>
  <c r="F192" i="1"/>
  <c r="K53" i="2"/>
  <c r="L53" i="2"/>
  <c r="K156" i="1"/>
  <c r="O190" i="1"/>
  <c r="O53" i="2"/>
  <c r="P53" i="2"/>
  <c r="E192" i="1"/>
  <c r="O154" i="1"/>
  <c r="J214" i="1"/>
  <c r="L214" i="1" s="1"/>
  <c r="Q214" i="1" s="1"/>
  <c r="Q52" i="2"/>
  <c r="U51" i="2" l="1"/>
  <c r="W51" i="2"/>
  <c r="M54" i="2"/>
  <c r="O214" i="1"/>
  <c r="P214" i="1"/>
  <c r="O155" i="1"/>
  <c r="P155" i="1"/>
  <c r="O215" i="1"/>
  <c r="M37" i="3"/>
  <c r="M157" i="1"/>
  <c r="L157" i="1"/>
  <c r="Q157" i="1" s="1"/>
  <c r="K55" i="2"/>
  <c r="L55" i="2"/>
  <c r="K158" i="1"/>
  <c r="P55" i="2"/>
  <c r="O55" i="2"/>
  <c r="G216" i="1"/>
  <c r="M53" i="2"/>
  <c r="H215" i="1"/>
  <c r="P215" i="1" s="1"/>
  <c r="E216" i="1"/>
  <c r="M156" i="1"/>
  <c r="L156" i="1"/>
  <c r="Q156" i="1" s="1"/>
  <c r="F216" i="1"/>
  <c r="H192" i="1"/>
  <c r="J192" i="1"/>
  <c r="L192" i="1" s="1"/>
  <c r="Q192" i="1" s="1"/>
  <c r="Q53" i="2"/>
  <c r="U52" i="2" l="1"/>
  <c r="W52" i="2"/>
  <c r="M55" i="2"/>
  <c r="O156" i="1"/>
  <c r="P156" i="1"/>
  <c r="O157" i="1"/>
  <c r="P157" i="1"/>
  <c r="O192" i="1"/>
  <c r="P192" i="1"/>
  <c r="M158" i="1"/>
  <c r="L158" i="1"/>
  <c r="Q158" i="1" s="1"/>
  <c r="K160" i="1"/>
  <c r="L56" i="2"/>
  <c r="K56" i="2"/>
  <c r="K159" i="1"/>
  <c r="P56" i="2"/>
  <c r="O56" i="2"/>
  <c r="H216" i="1"/>
  <c r="J216" i="1"/>
  <c r="L216" i="1" s="1"/>
  <c r="Q216" i="1" s="1"/>
  <c r="Q54" i="2"/>
  <c r="U53" i="2" l="1"/>
  <c r="W53" i="2"/>
  <c r="P216" i="1"/>
  <c r="O158" i="1"/>
  <c r="P158" i="1"/>
  <c r="M56" i="2"/>
  <c r="M160" i="1"/>
  <c r="L160" i="1"/>
  <c r="Q160" i="1" s="1"/>
  <c r="P57" i="2"/>
  <c r="O57" i="2"/>
  <c r="M159" i="1"/>
  <c r="L159" i="1"/>
  <c r="Q159" i="1" s="1"/>
  <c r="K57" i="2"/>
  <c r="L57" i="2"/>
  <c r="K161" i="1"/>
  <c r="O216" i="1"/>
  <c r="Q55" i="2"/>
  <c r="U54" i="2" l="1"/>
  <c r="W54" i="2"/>
  <c r="O159" i="1"/>
  <c r="P159" i="1"/>
  <c r="O160" i="1"/>
  <c r="P160" i="1"/>
  <c r="M57" i="2"/>
  <c r="M161" i="1"/>
  <c r="L161" i="1"/>
  <c r="Q161" i="1" s="1"/>
  <c r="L58" i="2"/>
  <c r="K58" i="2"/>
  <c r="K162" i="1"/>
  <c r="P58" i="2"/>
  <c r="O58" i="2"/>
  <c r="Q57" i="2"/>
  <c r="W57" i="2" s="1"/>
  <c r="Q56" i="2"/>
  <c r="U55" i="2" l="1"/>
  <c r="W55" i="2"/>
  <c r="O161" i="1"/>
  <c r="P161" i="1"/>
  <c r="U57" i="2"/>
  <c r="M162" i="1"/>
  <c r="L162" i="1"/>
  <c r="Q162" i="1" s="1"/>
  <c r="O59" i="2"/>
  <c r="P59" i="2"/>
  <c r="L59" i="2"/>
  <c r="K59" i="2"/>
  <c r="K163" i="1"/>
  <c r="Q58" i="2"/>
  <c r="W58" i="2" s="1"/>
  <c r="M58" i="2"/>
  <c r="U56" i="2" l="1"/>
  <c r="W56" i="2"/>
  <c r="O162" i="1"/>
  <c r="P162" i="1"/>
  <c r="M163" i="1"/>
  <c r="L163" i="1"/>
  <c r="Q163" i="1" s="1"/>
  <c r="U58" i="2"/>
  <c r="L60" i="2"/>
  <c r="K60" i="2"/>
  <c r="K164" i="1"/>
  <c r="M59" i="2"/>
  <c r="P60" i="2"/>
  <c r="O60" i="2"/>
  <c r="Q59" i="2"/>
  <c r="W59" i="2" s="1"/>
  <c r="O163" i="1" l="1"/>
  <c r="P163" i="1"/>
  <c r="M164" i="1"/>
  <c r="L164" i="1"/>
  <c r="Q164" i="1" s="1"/>
  <c r="Q60" i="2"/>
  <c r="W60" i="2" s="1"/>
  <c r="U59" i="2"/>
  <c r="P61" i="2"/>
  <c r="O61" i="2"/>
  <c r="L61" i="2"/>
  <c r="K61" i="2"/>
  <c r="K165" i="1"/>
  <c r="M60" i="2"/>
  <c r="O164" i="1" l="1"/>
  <c r="P164" i="1"/>
  <c r="U60" i="2"/>
  <c r="M165" i="1"/>
  <c r="L165" i="1"/>
  <c r="Q165" i="1" s="1"/>
  <c r="M61" i="2"/>
  <c r="L62" i="2"/>
  <c r="K62" i="2"/>
  <c r="P62" i="2"/>
  <c r="O62" i="2"/>
  <c r="M4" i="1"/>
  <c r="M5" i="1"/>
  <c r="Q61" i="2"/>
  <c r="W61" i="2" s="1"/>
  <c r="O165" i="1" l="1"/>
  <c r="P165" i="1"/>
  <c r="K166" i="1"/>
  <c r="M166" i="1" s="1"/>
  <c r="M62" i="2"/>
  <c r="L63" i="2"/>
  <c r="K63" i="2"/>
  <c r="P63" i="2"/>
  <c r="O63" i="2"/>
  <c r="K109" i="1" a="1"/>
  <c r="K109" i="1" s="1"/>
  <c r="K116" i="1" a="1"/>
  <c r="K116" i="1" s="1"/>
  <c r="K112" i="1" a="1"/>
  <c r="K112" i="1" s="1"/>
  <c r="K111" i="1" a="1"/>
  <c r="K111" i="1" s="1"/>
  <c r="K108" i="1" a="1"/>
  <c r="K108" i="1" s="1"/>
  <c r="K115" i="1" a="1"/>
  <c r="K115" i="1" s="1"/>
  <c r="K114" i="1" a="1"/>
  <c r="K114" i="1" s="1"/>
  <c r="K110" i="1" a="1"/>
  <c r="K110" i="1" s="1"/>
  <c r="K117" i="1" a="1"/>
  <c r="K117" i="1" s="1"/>
  <c r="K113" i="1" a="1"/>
  <c r="K113" i="1" s="1"/>
  <c r="M7" i="1"/>
  <c r="M14" i="1"/>
  <c r="M6" i="1"/>
  <c r="M37" i="1"/>
  <c r="M30" i="1"/>
  <c r="M52" i="1"/>
  <c r="M11" i="1"/>
  <c r="M38" i="1"/>
  <c r="M15" i="1"/>
  <c r="M18" i="1"/>
  <c r="M8" i="1"/>
  <c r="M36" i="1"/>
  <c r="M12" i="1"/>
  <c r="Q62" i="2"/>
  <c r="W62" i="2" s="1"/>
  <c r="U61" i="2"/>
  <c r="L166" i="1" l="1"/>
  <c r="Q166" i="1" s="1"/>
  <c r="K64" i="2"/>
  <c r="L64" i="2"/>
  <c r="K167" i="1"/>
  <c r="M101" i="1"/>
  <c r="L101" i="1"/>
  <c r="Q101" i="1" s="1"/>
  <c r="L78" i="1"/>
  <c r="Q78" i="1" s="1"/>
  <c r="M78" i="1"/>
  <c r="M111" i="1"/>
  <c r="L111" i="1"/>
  <c r="Q111" i="1" s="1"/>
  <c r="L63" i="1"/>
  <c r="Q63" i="1" s="1"/>
  <c r="M63" i="1"/>
  <c r="M73" i="1"/>
  <c r="L73" i="1"/>
  <c r="Q73" i="1" s="1"/>
  <c r="M113" i="1"/>
  <c r="L113" i="1"/>
  <c r="Q113" i="1" s="1"/>
  <c r="M59" i="1"/>
  <c r="L59" i="1"/>
  <c r="Q59" i="1" s="1"/>
  <c r="M80" i="1"/>
  <c r="L80" i="1"/>
  <c r="Q80" i="1" s="1"/>
  <c r="M87" i="1"/>
  <c r="L87" i="1"/>
  <c r="Q87" i="1" s="1"/>
  <c r="L31" i="1"/>
  <c r="Q31" i="1" s="1"/>
  <c r="M31" i="1"/>
  <c r="M86" i="1"/>
  <c r="L86" i="1"/>
  <c r="Q86" i="1" s="1"/>
  <c r="M54" i="1"/>
  <c r="L54" i="1"/>
  <c r="Q54" i="1" s="1"/>
  <c r="M90" i="1"/>
  <c r="L90" i="1"/>
  <c r="Q90" i="1" s="1"/>
  <c r="M68" i="1"/>
  <c r="L68" i="1"/>
  <c r="Q68" i="1" s="1"/>
  <c r="M32" i="1"/>
  <c r="L32" i="1"/>
  <c r="Q32" i="1" s="1"/>
  <c r="M97" i="1"/>
  <c r="L97" i="1"/>
  <c r="Q97" i="1" s="1"/>
  <c r="L41" i="1"/>
  <c r="Q41" i="1" s="1"/>
  <c r="M41" i="1"/>
  <c r="M76" i="1"/>
  <c r="L76" i="1"/>
  <c r="Q76" i="1" s="1"/>
  <c r="M106" i="1"/>
  <c r="L106" i="1"/>
  <c r="Q106" i="1" s="1"/>
  <c r="Q63" i="2"/>
  <c r="M17" i="1"/>
  <c r="L17" i="1"/>
  <c r="Q17" i="1" s="1"/>
  <c r="M42" i="1"/>
  <c r="L42" i="1"/>
  <c r="Q42" i="1" s="1"/>
  <c r="M96" i="1"/>
  <c r="L96" i="1"/>
  <c r="Q96" i="1" s="1"/>
  <c r="M107" i="1"/>
  <c r="L107" i="1"/>
  <c r="Q107" i="1" s="1"/>
  <c r="M25" i="1"/>
  <c r="L25" i="1"/>
  <c r="Q25" i="1" s="1"/>
  <c r="L27" i="1"/>
  <c r="Q27" i="1" s="1"/>
  <c r="M27" i="1"/>
  <c r="M44" i="1"/>
  <c r="L44" i="1"/>
  <c r="Q44" i="1" s="1"/>
  <c r="M50" i="1"/>
  <c r="L50" i="1"/>
  <c r="Q50" i="1" s="1"/>
  <c r="L9" i="1"/>
  <c r="Q9" i="1" s="1"/>
  <c r="M9" i="1"/>
  <c r="L46" i="1"/>
  <c r="Q46" i="1" s="1"/>
  <c r="M46" i="1"/>
  <c r="L69" i="1"/>
  <c r="Q69" i="1" s="1"/>
  <c r="M69" i="1"/>
  <c r="M51" i="1"/>
  <c r="L51" i="1"/>
  <c r="Q51" i="1" s="1"/>
  <c r="M117" i="1"/>
  <c r="L117" i="1"/>
  <c r="Q117" i="1" s="1"/>
  <c r="M105" i="1"/>
  <c r="L105" i="1"/>
  <c r="Q105" i="1" s="1"/>
  <c r="L33" i="1"/>
  <c r="Q33" i="1" s="1"/>
  <c r="M33" i="1"/>
  <c r="M99" i="1"/>
  <c r="L99" i="1"/>
  <c r="Q99" i="1" s="1"/>
  <c r="L20" i="1"/>
  <c r="Q20" i="1" s="1"/>
  <c r="M20" i="1"/>
  <c r="M89" i="1"/>
  <c r="L89" i="1"/>
  <c r="Q89" i="1" s="1"/>
  <c r="M77" i="1"/>
  <c r="L77" i="1"/>
  <c r="Q77" i="1" s="1"/>
  <c r="L49" i="1"/>
  <c r="Q49" i="1" s="1"/>
  <c r="M49" i="1"/>
  <c r="M88" i="1"/>
  <c r="L88" i="1"/>
  <c r="Q88" i="1" s="1"/>
  <c r="M85" i="1"/>
  <c r="L85" i="1"/>
  <c r="Q85" i="1" s="1"/>
  <c r="M47" i="1"/>
  <c r="L47" i="1"/>
  <c r="Q47" i="1" s="1"/>
  <c r="L21" i="1"/>
  <c r="Q21" i="1" s="1"/>
  <c r="M21" i="1"/>
  <c r="L34" i="1"/>
  <c r="Q34" i="1" s="1"/>
  <c r="M34" i="1"/>
  <c r="M95" i="1"/>
  <c r="L95" i="1"/>
  <c r="Q95" i="1" s="1"/>
  <c r="M82" i="1"/>
  <c r="L82" i="1"/>
  <c r="Q82" i="1" s="1"/>
  <c r="L61" i="1"/>
  <c r="Q61" i="1" s="1"/>
  <c r="M61" i="1"/>
  <c r="M93" i="1"/>
  <c r="L93" i="1"/>
  <c r="Q93" i="1" s="1"/>
  <c r="M100" i="1"/>
  <c r="L100" i="1"/>
  <c r="Q100" i="1" s="1"/>
  <c r="M58" i="1"/>
  <c r="L58" i="1"/>
  <c r="Q58" i="1" s="1"/>
  <c r="M53" i="1"/>
  <c r="L53" i="1"/>
  <c r="Q53" i="1" s="1"/>
  <c r="L24" i="1"/>
  <c r="Q24" i="1" s="1"/>
  <c r="M24" i="1"/>
  <c r="M70" i="1"/>
  <c r="L70" i="1"/>
  <c r="Q70" i="1" s="1"/>
  <c r="M81" i="1"/>
  <c r="L81" i="1"/>
  <c r="Q81" i="1" s="1"/>
  <c r="M110" i="1"/>
  <c r="L110" i="1"/>
  <c r="Q110" i="1" s="1"/>
  <c r="M104" i="1"/>
  <c r="L104" i="1"/>
  <c r="Q104" i="1" s="1"/>
  <c r="M112" i="1"/>
  <c r="L112" i="1"/>
  <c r="Q112" i="1" s="1"/>
  <c r="M60" i="1"/>
  <c r="L60" i="1"/>
  <c r="Q60" i="1" s="1"/>
  <c r="L35" i="1"/>
  <c r="Q35" i="1" s="1"/>
  <c r="M35" i="1"/>
  <c r="M28" i="1"/>
  <c r="L28" i="1"/>
  <c r="Q28" i="1" s="1"/>
  <c r="M22" i="1"/>
  <c r="L22" i="1"/>
  <c r="Q22" i="1" s="1"/>
  <c r="M103" i="1"/>
  <c r="L103" i="1"/>
  <c r="Q103" i="1" s="1"/>
  <c r="M91" i="1"/>
  <c r="L91" i="1"/>
  <c r="Q91" i="1" s="1"/>
  <c r="M75" i="1"/>
  <c r="L75" i="1"/>
  <c r="Q75" i="1" s="1"/>
  <c r="M92" i="1"/>
  <c r="L92" i="1"/>
  <c r="Q92" i="1" s="1"/>
  <c r="M29" i="1"/>
  <c r="L29" i="1"/>
  <c r="Q29" i="1" s="1"/>
  <c r="M84" i="1"/>
  <c r="L84" i="1"/>
  <c r="Q84" i="1" s="1"/>
  <c r="L66" i="1"/>
  <c r="Q66" i="1" s="1"/>
  <c r="M66" i="1"/>
  <c r="M57" i="1"/>
  <c r="L57" i="1"/>
  <c r="Q57" i="1" s="1"/>
  <c r="L72" i="1"/>
  <c r="Q72" i="1" s="1"/>
  <c r="M72" i="1"/>
  <c r="L23" i="1"/>
  <c r="Q23" i="1" s="1"/>
  <c r="M23" i="1"/>
  <c r="M98" i="1"/>
  <c r="L98" i="1"/>
  <c r="Q98" i="1" s="1"/>
  <c r="L40" i="1"/>
  <c r="Q40" i="1" s="1"/>
  <c r="M40" i="1"/>
  <c r="L39" i="1"/>
  <c r="Q39" i="1" s="1"/>
  <c r="M39" i="1"/>
  <c r="L10" i="1"/>
  <c r="Q10" i="1" s="1"/>
  <c r="M10" i="1"/>
  <c r="L74" i="1"/>
  <c r="Q74" i="1" s="1"/>
  <c r="M74" i="1"/>
  <c r="M13" i="1"/>
  <c r="L13" i="1"/>
  <c r="Q13" i="1" s="1"/>
  <c r="M108" i="1"/>
  <c r="L108" i="1"/>
  <c r="Q108" i="1" s="1"/>
  <c r="L116" i="1"/>
  <c r="Q116" i="1" s="1"/>
  <c r="M116" i="1"/>
  <c r="M16" i="1"/>
  <c r="L16" i="1"/>
  <c r="Q16" i="1" s="1"/>
  <c r="L43" i="1"/>
  <c r="Q43" i="1" s="1"/>
  <c r="M43" i="1"/>
  <c r="M94" i="1"/>
  <c r="L94" i="1"/>
  <c r="Q94" i="1" s="1"/>
  <c r="M114" i="1"/>
  <c r="L114" i="1"/>
  <c r="Q114" i="1" s="1"/>
  <c r="L71" i="1"/>
  <c r="Q71" i="1" s="1"/>
  <c r="M71" i="1"/>
  <c r="L19" i="1"/>
  <c r="Q19" i="1" s="1"/>
  <c r="M19" i="1"/>
  <c r="M115" i="1"/>
  <c r="L115" i="1"/>
  <c r="Q115" i="1" s="1"/>
  <c r="M65" i="1"/>
  <c r="L65" i="1"/>
  <c r="Q65" i="1" s="1"/>
  <c r="M67" i="1"/>
  <c r="L67" i="1"/>
  <c r="Q67" i="1" s="1"/>
  <c r="L64" i="1"/>
  <c r="Q64" i="1" s="1"/>
  <c r="M64" i="1"/>
  <c r="L48" i="1"/>
  <c r="Q48" i="1" s="1"/>
  <c r="M48" i="1"/>
  <c r="M102" i="1"/>
  <c r="L102" i="1"/>
  <c r="Q102" i="1" s="1"/>
  <c r="M56" i="1"/>
  <c r="L56" i="1"/>
  <c r="Q56" i="1" s="1"/>
  <c r="M26" i="1"/>
  <c r="L26" i="1"/>
  <c r="Q26" i="1" s="1"/>
  <c r="U62" i="2"/>
  <c r="L55" i="1"/>
  <c r="Q55" i="1" s="1"/>
  <c r="M55" i="1"/>
  <c r="M83" i="1"/>
  <c r="L83" i="1"/>
  <c r="Q83" i="1" s="1"/>
  <c r="L62" i="1"/>
  <c r="Q62" i="1" s="1"/>
  <c r="M62" i="1"/>
  <c r="M45" i="1"/>
  <c r="L45" i="1"/>
  <c r="Q45" i="1" s="1"/>
  <c r="M79" i="1"/>
  <c r="L79" i="1"/>
  <c r="Q79" i="1" s="1"/>
  <c r="M109" i="1"/>
  <c r="L109" i="1"/>
  <c r="Q109" i="1" s="1"/>
  <c r="M63" i="2"/>
  <c r="Q83" i="2" l="1"/>
  <c r="U63" i="2"/>
  <c r="P166" i="1"/>
  <c r="O166" i="1"/>
  <c r="P39" i="1"/>
  <c r="P102" i="1"/>
  <c r="P22" i="1"/>
  <c r="P51" i="1"/>
  <c r="P62" i="1"/>
  <c r="P28" i="1"/>
  <c r="P47" i="1"/>
  <c r="P48" i="1"/>
  <c r="P20" i="1"/>
  <c r="P13" i="1"/>
  <c r="P54" i="1"/>
  <c r="P64" i="1"/>
  <c r="P23" i="1"/>
  <c r="P35" i="1"/>
  <c r="P46" i="1"/>
  <c r="P55" i="1"/>
  <c r="P67" i="1"/>
  <c r="P60" i="1"/>
  <c r="M64" i="2"/>
  <c r="U64" i="2" s="1"/>
  <c r="P66" i="1"/>
  <c r="P34" i="1"/>
  <c r="P72" i="1"/>
  <c r="P24" i="1"/>
  <c r="P41" i="1"/>
  <c r="P26" i="1"/>
  <c r="P57" i="1"/>
  <c r="P53" i="1"/>
  <c r="P43" i="1"/>
  <c r="P10" i="1"/>
  <c r="P49" i="1"/>
  <c r="P31" i="1"/>
  <c r="P63" i="1"/>
  <c r="P45" i="1"/>
  <c r="P19" i="1"/>
  <c r="P40" i="1"/>
  <c r="P21" i="1"/>
  <c r="P27" i="1"/>
  <c r="P29" i="1"/>
  <c r="P25" i="1"/>
  <c r="P33" i="1"/>
  <c r="P65" i="1"/>
  <c r="P50" i="1"/>
  <c r="P42" i="1"/>
  <c r="P56" i="1"/>
  <c r="P16" i="1"/>
  <c r="P58" i="1"/>
  <c r="P44" i="1"/>
  <c r="P17" i="1"/>
  <c r="P32" i="1"/>
  <c r="O117" i="1"/>
  <c r="P117" i="1"/>
  <c r="O111" i="1"/>
  <c r="P111" i="1"/>
  <c r="O84" i="1"/>
  <c r="P84" i="1"/>
  <c r="O110" i="1"/>
  <c r="P110" i="1"/>
  <c r="O89" i="1"/>
  <c r="P89" i="1"/>
  <c r="O80" i="1"/>
  <c r="P80" i="1"/>
  <c r="O116" i="1"/>
  <c r="P116" i="1"/>
  <c r="O108" i="1"/>
  <c r="P108" i="1"/>
  <c r="O93" i="1"/>
  <c r="P93" i="1"/>
  <c r="O59" i="1"/>
  <c r="P59" i="1"/>
  <c r="O114" i="1"/>
  <c r="P114" i="1"/>
  <c r="O113" i="1"/>
  <c r="P113" i="1"/>
  <c r="O88" i="1"/>
  <c r="P88" i="1"/>
  <c r="O96" i="1"/>
  <c r="P96" i="1"/>
  <c r="O86" i="1"/>
  <c r="P86" i="1"/>
  <c r="N73" i="7"/>
  <c r="P9" i="1"/>
  <c r="O91" i="1"/>
  <c r="P91" i="1"/>
  <c r="O115" i="1"/>
  <c r="P115" i="1"/>
  <c r="O103" i="1"/>
  <c r="P103" i="1"/>
  <c r="O104" i="1"/>
  <c r="P104" i="1"/>
  <c r="O77" i="1"/>
  <c r="P77" i="1"/>
  <c r="O87" i="1"/>
  <c r="P87" i="1"/>
  <c r="O100" i="1"/>
  <c r="P100" i="1"/>
  <c r="O68" i="1"/>
  <c r="P68" i="1"/>
  <c r="O78" i="1"/>
  <c r="P78" i="1"/>
  <c r="O98" i="1"/>
  <c r="P98" i="1"/>
  <c r="O81" i="1"/>
  <c r="P81" i="1"/>
  <c r="O106" i="1"/>
  <c r="P106" i="1"/>
  <c r="O90" i="1"/>
  <c r="P90" i="1"/>
  <c r="O101" i="1"/>
  <c r="P101" i="1"/>
  <c r="O83" i="1"/>
  <c r="P83" i="1"/>
  <c r="O71" i="1"/>
  <c r="P71" i="1"/>
  <c r="O69" i="1"/>
  <c r="P69" i="1"/>
  <c r="O92" i="1"/>
  <c r="P92" i="1"/>
  <c r="O70" i="1"/>
  <c r="P70" i="1"/>
  <c r="O85" i="1"/>
  <c r="P85" i="1"/>
  <c r="O99" i="1"/>
  <c r="P99" i="1"/>
  <c r="O107" i="1"/>
  <c r="P107" i="1"/>
  <c r="O76" i="1"/>
  <c r="P76" i="1"/>
  <c r="O61" i="1"/>
  <c r="P61" i="1"/>
  <c r="O94" i="1"/>
  <c r="P94" i="1"/>
  <c r="O75" i="1"/>
  <c r="P75" i="1"/>
  <c r="O82" i="1"/>
  <c r="P82" i="1"/>
  <c r="O73" i="1"/>
  <c r="P73" i="1"/>
  <c r="O109" i="1"/>
  <c r="P109" i="1"/>
  <c r="O74" i="1"/>
  <c r="P74" i="1"/>
  <c r="O112" i="1"/>
  <c r="P112" i="1"/>
  <c r="O95" i="1"/>
  <c r="P95" i="1"/>
  <c r="O105" i="1"/>
  <c r="P105" i="1"/>
  <c r="O97" i="1"/>
  <c r="P97" i="1"/>
  <c r="O79" i="1"/>
  <c r="P79" i="1"/>
  <c r="K168" i="1"/>
  <c r="L65" i="2"/>
  <c r="K65" i="2"/>
  <c r="M167" i="1"/>
  <c r="L167" i="1"/>
  <c r="Q167" i="1" s="1"/>
  <c r="O102" i="1"/>
  <c r="M22" i="7"/>
  <c r="O41" i="1"/>
  <c r="N56" i="7"/>
  <c r="O35" i="1"/>
  <c r="N59" i="7"/>
  <c r="O60" i="1"/>
  <c r="M44" i="7"/>
  <c r="O26" i="1"/>
  <c r="M63" i="7"/>
  <c r="O43" i="1"/>
  <c r="N55" i="7"/>
  <c r="O17" i="1"/>
  <c r="N69" i="7"/>
  <c r="O13" i="1"/>
  <c r="N71" i="7"/>
  <c r="O23" i="1"/>
  <c r="N65" i="7"/>
  <c r="O46" i="1"/>
  <c r="M53" i="7"/>
  <c r="O31" i="1"/>
  <c r="N61" i="7"/>
  <c r="O51" i="1"/>
  <c r="N51" i="7"/>
  <c r="O53" i="1"/>
  <c r="N50" i="7"/>
  <c r="O10" i="1"/>
  <c r="M72" i="7"/>
  <c r="O63" i="1"/>
  <c r="N45" i="7"/>
  <c r="O16" i="1"/>
  <c r="M69" i="7"/>
  <c r="O45" i="1"/>
  <c r="N54" i="7"/>
  <c r="O19" i="1"/>
  <c r="N67" i="7"/>
  <c r="O40" i="1"/>
  <c r="M56" i="7"/>
  <c r="O21" i="1"/>
  <c r="N66" i="7"/>
  <c r="O27" i="1"/>
  <c r="N63" i="7"/>
  <c r="O54" i="1"/>
  <c r="M49" i="7"/>
  <c r="O67" i="1"/>
  <c r="N43" i="7"/>
  <c r="O33" i="1"/>
  <c r="N60" i="7"/>
  <c r="O57" i="1"/>
  <c r="N48" i="7"/>
  <c r="O50" i="1"/>
  <c r="M51" i="7"/>
  <c r="O42" i="1"/>
  <c r="M55" i="7"/>
  <c r="O49" i="1"/>
  <c r="N52" i="7"/>
  <c r="O56" i="1"/>
  <c r="M48" i="7"/>
  <c r="O58" i="1"/>
  <c r="M45" i="7"/>
  <c r="O44" i="1"/>
  <c r="M54" i="7"/>
  <c r="O32" i="1"/>
  <c r="M60" i="7"/>
  <c r="O47" i="1"/>
  <c r="N53" i="7"/>
  <c r="O25" i="1"/>
  <c r="N64" i="7"/>
  <c r="O64" i="1"/>
  <c r="M42" i="7"/>
  <c r="O55" i="1"/>
  <c r="N49" i="7"/>
  <c r="O72" i="1"/>
  <c r="M38" i="7"/>
  <c r="O24" i="1"/>
  <c r="M64" i="7"/>
  <c r="O65" i="1"/>
  <c r="N44" i="7"/>
  <c r="O39" i="1"/>
  <c r="N57" i="7"/>
  <c r="O66" i="1"/>
  <c r="M41" i="7"/>
  <c r="O34" i="1"/>
  <c r="M59" i="7"/>
  <c r="O22" i="1"/>
  <c r="M65" i="7"/>
  <c r="O62" i="1"/>
  <c r="M43" i="7"/>
  <c r="O29" i="1"/>
  <c r="N62" i="7"/>
  <c r="O28" i="1"/>
  <c r="M62" i="7"/>
  <c r="O48" i="1"/>
  <c r="M52" i="7"/>
  <c r="O20" i="1"/>
  <c r="M66" i="7"/>
  <c r="O9" i="1"/>
  <c r="D20" i="3"/>
  <c r="C199" i="1" s="1"/>
  <c r="C175" i="1"/>
  <c r="D175" i="1" s="1"/>
  <c r="E20" i="3"/>
  <c r="E21" i="3" s="1"/>
  <c r="E22" i="3" s="1"/>
  <c r="W63" i="2" l="1"/>
  <c r="T83" i="2"/>
  <c r="O167" i="1"/>
  <c r="P167" i="1"/>
  <c r="M65" i="2"/>
  <c r="U65" i="2" s="1"/>
  <c r="M168" i="1"/>
  <c r="L168" i="1"/>
  <c r="Q168" i="1" s="1"/>
  <c r="K169" i="1"/>
  <c r="K66" i="2"/>
  <c r="L66" i="2"/>
  <c r="M66" i="2" s="1"/>
  <c r="N175" i="1"/>
  <c r="O175" i="1" s="1"/>
  <c r="E23" i="3"/>
  <c r="A175" i="1"/>
  <c r="C21" i="3"/>
  <c r="C22" i="3" s="1"/>
  <c r="N199" i="1"/>
  <c r="O199" i="1" s="1"/>
  <c r="A199" i="1"/>
  <c r="K199" i="1"/>
  <c r="M199" i="1" s="1"/>
  <c r="D199" i="1"/>
  <c r="K175" i="1"/>
  <c r="M175" i="1" s="1"/>
  <c r="U66" i="2" l="1"/>
  <c r="M83" i="2"/>
  <c r="G175" i="1"/>
  <c r="E175" i="1"/>
  <c r="O168" i="1"/>
  <c r="P168" i="1"/>
  <c r="M169" i="1"/>
  <c r="L169" i="1"/>
  <c r="Q169" i="1" s="1"/>
  <c r="E24" i="3"/>
  <c r="F175" i="1"/>
  <c r="D21" i="3"/>
  <c r="C176" i="1"/>
  <c r="F199" i="1"/>
  <c r="G199" i="1"/>
  <c r="E199" i="1"/>
  <c r="H175" i="1" l="1"/>
  <c r="P175" i="1" s="1"/>
  <c r="O169" i="1"/>
  <c r="P169" i="1"/>
  <c r="D22" i="3"/>
  <c r="C23" i="3"/>
  <c r="E25" i="3"/>
  <c r="J175" i="1"/>
  <c r="Q175" i="1" s="1"/>
  <c r="K176" i="1"/>
  <c r="M176" i="1" s="1"/>
  <c r="A176" i="1"/>
  <c r="D176" i="1"/>
  <c r="N176" i="1"/>
  <c r="O176" i="1" s="1"/>
  <c r="C200" i="1"/>
  <c r="I21" i="3"/>
  <c r="H21" i="3"/>
  <c r="H199" i="1"/>
  <c r="P199" i="1" s="1"/>
  <c r="J199" i="1"/>
  <c r="Q199" i="1" s="1"/>
  <c r="E176" i="1" l="1"/>
  <c r="C24" i="3"/>
  <c r="D24" i="3" s="1"/>
  <c r="D23" i="3"/>
  <c r="E26" i="3"/>
  <c r="F176" i="1"/>
  <c r="G176" i="1"/>
  <c r="A200" i="1"/>
  <c r="G200" i="1" s="1"/>
  <c r="N200" i="1"/>
  <c r="D200" i="1"/>
  <c r="K200" i="1"/>
  <c r="M200" i="1" s="1"/>
  <c r="L21" i="3"/>
  <c r="K21" i="3"/>
  <c r="C177" i="1"/>
  <c r="C25" i="3" l="1"/>
  <c r="D25" i="3" s="1"/>
  <c r="E200" i="1"/>
  <c r="H176" i="1"/>
  <c r="P176" i="1" s="1"/>
  <c r="F200" i="1"/>
  <c r="H200" i="1" s="1"/>
  <c r="J176" i="1"/>
  <c r="Q176" i="1" s="1"/>
  <c r="I22" i="3"/>
  <c r="H22" i="3"/>
  <c r="C201" i="1"/>
  <c r="C178" i="1"/>
  <c r="A177" i="1"/>
  <c r="N177" i="1"/>
  <c r="O177" i="1" s="1"/>
  <c r="D177" i="1"/>
  <c r="K177" i="1"/>
  <c r="M177" i="1" s="1"/>
  <c r="C26" i="3" l="1"/>
  <c r="D26" i="3" s="1"/>
  <c r="F177" i="1"/>
  <c r="C44" i="3"/>
  <c r="C46" i="3" s="1"/>
  <c r="J200" i="1"/>
  <c r="L200" i="1" s="1"/>
  <c r="Q200" i="1" s="1"/>
  <c r="E177" i="1"/>
  <c r="G177" i="1"/>
  <c r="C202" i="1"/>
  <c r="K22" i="3"/>
  <c r="L22" i="3"/>
  <c r="N201" i="1"/>
  <c r="D201" i="1"/>
  <c r="A201" i="1"/>
  <c r="G201" i="1" s="1"/>
  <c r="K201" i="1"/>
  <c r="M201" i="1" s="1"/>
  <c r="H23" i="3"/>
  <c r="I23" i="3"/>
  <c r="C179" i="1"/>
  <c r="N178" i="1"/>
  <c r="O178" i="1" s="1"/>
  <c r="D178" i="1"/>
  <c r="A178" i="1"/>
  <c r="F178" i="1" s="1"/>
  <c r="K178" i="1"/>
  <c r="M178" i="1" s="1"/>
  <c r="J177" i="1" l="1"/>
  <c r="Q177" i="1" s="1"/>
  <c r="P200" i="1"/>
  <c r="O200" i="1"/>
  <c r="D44" i="3"/>
  <c r="G178" i="1"/>
  <c r="J178" i="1" s="1"/>
  <c r="Q178" i="1" s="1"/>
  <c r="H177" i="1"/>
  <c r="P177" i="1" s="1"/>
  <c r="F201" i="1"/>
  <c r="H201" i="1" s="1"/>
  <c r="E201" i="1"/>
  <c r="N179" i="1"/>
  <c r="O179" i="1" s="1"/>
  <c r="A179" i="1"/>
  <c r="F179" i="1" s="1"/>
  <c r="D179" i="1"/>
  <c r="C203" i="1"/>
  <c r="L24" i="3"/>
  <c r="C204" i="1"/>
  <c r="C180" i="1"/>
  <c r="L23" i="3"/>
  <c r="K23" i="3"/>
  <c r="D202" i="1"/>
  <c r="A202" i="1"/>
  <c r="G202" i="1" s="1"/>
  <c r="N202" i="1"/>
  <c r="K202" i="1"/>
  <c r="M202" i="1" s="1"/>
  <c r="E178" i="1"/>
  <c r="H24" i="3"/>
  <c r="I24" i="3"/>
  <c r="H178" i="1" l="1"/>
  <c r="P178" i="1" s="1"/>
  <c r="J201" i="1"/>
  <c r="L201" i="1" s="1"/>
  <c r="Q201" i="1" s="1"/>
  <c r="K203" i="1"/>
  <c r="M203" i="1" s="1"/>
  <c r="F202" i="1"/>
  <c r="H202" i="1" s="1"/>
  <c r="K24" i="3"/>
  <c r="K25" i="3"/>
  <c r="E179" i="1"/>
  <c r="G179" i="1"/>
  <c r="J179" i="1" s="1"/>
  <c r="Q179" i="1" s="1"/>
  <c r="C205" i="1"/>
  <c r="C181" i="1"/>
  <c r="M21" i="7" s="1"/>
  <c r="A203" i="1"/>
  <c r="F203" i="1" s="1"/>
  <c r="N203" i="1"/>
  <c r="D203" i="1"/>
  <c r="A204" i="1"/>
  <c r="F204" i="1" s="1"/>
  <c r="D204" i="1"/>
  <c r="N204" i="1"/>
  <c r="E202" i="1"/>
  <c r="D180" i="1"/>
  <c r="N180" i="1"/>
  <c r="O180" i="1" s="1"/>
  <c r="A180" i="1"/>
  <c r="F180" i="1" s="1"/>
  <c r="H25" i="3"/>
  <c r="I25" i="3"/>
  <c r="P201" i="1" l="1"/>
  <c r="K179" i="1"/>
  <c r="M179" i="1" s="1"/>
  <c r="G180" i="1"/>
  <c r="H180" i="1" s="1"/>
  <c r="P180" i="1" s="1"/>
  <c r="O201" i="1"/>
  <c r="M19" i="7"/>
  <c r="E180" i="1"/>
  <c r="K204" i="1"/>
  <c r="M204" i="1" s="1"/>
  <c r="J202" i="1"/>
  <c r="L202" i="1" s="1"/>
  <c r="Q202" i="1" s="1"/>
  <c r="L25" i="3"/>
  <c r="K26" i="3"/>
  <c r="H179" i="1"/>
  <c r="P179" i="1" s="1"/>
  <c r="G203" i="1"/>
  <c r="J203" i="1" s="1"/>
  <c r="L203" i="1" s="1"/>
  <c r="Q203" i="1" s="1"/>
  <c r="E203" i="1"/>
  <c r="N181" i="1"/>
  <c r="O181" i="1" s="1"/>
  <c r="D181" i="1"/>
  <c r="A181" i="1"/>
  <c r="F181" i="1" s="1"/>
  <c r="N205" i="1"/>
  <c r="A205" i="1"/>
  <c r="D205" i="1"/>
  <c r="E204" i="1"/>
  <c r="G204" i="1"/>
  <c r="H204" i="1" s="1"/>
  <c r="G27" i="3"/>
  <c r="K205" i="1"/>
  <c r="F27" i="3"/>
  <c r="H26" i="3"/>
  <c r="I26" i="3"/>
  <c r="E205" i="1" l="1"/>
  <c r="C6" i="4"/>
  <c r="C7" i="4" s="1"/>
  <c r="M7" i="4" s="1"/>
  <c r="N7" i="4" s="1"/>
  <c r="P202" i="1"/>
  <c r="O203" i="1"/>
  <c r="J180" i="1"/>
  <c r="Q180" i="1" s="1"/>
  <c r="O202" i="1"/>
  <c r="M18" i="7"/>
  <c r="B11" i="4"/>
  <c r="H11" i="4" s="1"/>
  <c r="L26" i="3"/>
  <c r="F205" i="1"/>
  <c r="C8" i="4"/>
  <c r="M8" i="4" s="1"/>
  <c r="U8" i="4" s="1"/>
  <c r="B9" i="4"/>
  <c r="B13" i="4"/>
  <c r="C14" i="4"/>
  <c r="M14" i="4" s="1"/>
  <c r="G205" i="1"/>
  <c r="H203" i="1"/>
  <c r="P203" i="1" s="1"/>
  <c r="C12" i="4"/>
  <c r="M12" i="4" s="1"/>
  <c r="C11" i="4"/>
  <c r="M11" i="4" s="1"/>
  <c r="C13" i="4"/>
  <c r="M13" i="4" s="1"/>
  <c r="E181" i="1"/>
  <c r="B14" i="4"/>
  <c r="B12" i="4"/>
  <c r="B8" i="4"/>
  <c r="B10" i="4"/>
  <c r="G181" i="1"/>
  <c r="H181" i="1" s="1"/>
  <c r="P181" i="1" s="1"/>
  <c r="J204" i="1"/>
  <c r="L204" i="1" s="1"/>
  <c r="Q204" i="1" s="1"/>
  <c r="K206" i="1"/>
  <c r="L27" i="3"/>
  <c r="K27" i="3"/>
  <c r="G28" i="3"/>
  <c r="H27" i="3"/>
  <c r="F28" i="3"/>
  <c r="I27" i="3"/>
  <c r="K182" i="1"/>
  <c r="M205" i="1"/>
  <c r="J27" i="3" l="1"/>
  <c r="M6" i="4"/>
  <c r="U6" i="4" s="1"/>
  <c r="I11" i="4"/>
  <c r="K11" i="4" s="1"/>
  <c r="L11" i="4" s="1"/>
  <c r="Q11" i="4"/>
  <c r="S11" i="4" s="1"/>
  <c r="K180" i="1"/>
  <c r="M180" i="1" s="1"/>
  <c r="O204" i="1"/>
  <c r="P204" i="1"/>
  <c r="J205" i="1"/>
  <c r="L205" i="1" s="1"/>
  <c r="Q205" i="1" s="1"/>
  <c r="N14" i="4"/>
  <c r="J181" i="1"/>
  <c r="Q181" i="1" s="1"/>
  <c r="I8" i="4"/>
  <c r="K8" i="4" s="1"/>
  <c r="Q8" i="4"/>
  <c r="S8" i="4" s="1"/>
  <c r="H8" i="4"/>
  <c r="H12" i="4"/>
  <c r="Q12" i="4"/>
  <c r="S12" i="4" s="1"/>
  <c r="I12" i="4"/>
  <c r="K12" i="4" s="1"/>
  <c r="I14" i="4"/>
  <c r="K14" i="4" s="1"/>
  <c r="H14" i="4"/>
  <c r="Q14" i="4"/>
  <c r="Q9" i="4"/>
  <c r="S9" i="4" s="1"/>
  <c r="H9" i="4"/>
  <c r="I9" i="4"/>
  <c r="K9" i="4" s="1"/>
  <c r="I10" i="4"/>
  <c r="K10" i="4" s="1"/>
  <c r="Q10" i="4"/>
  <c r="S10" i="4" s="1"/>
  <c r="H10" i="4"/>
  <c r="B15" i="4"/>
  <c r="Q6" i="4"/>
  <c r="H6" i="4"/>
  <c r="I6" i="4"/>
  <c r="H13" i="4"/>
  <c r="Q13" i="4"/>
  <c r="S13" i="4" s="1"/>
  <c r="I13" i="4"/>
  <c r="K13" i="4" s="1"/>
  <c r="U11" i="4"/>
  <c r="N11" i="4"/>
  <c r="N12" i="4"/>
  <c r="U12" i="4"/>
  <c r="U13" i="4"/>
  <c r="N13" i="4"/>
  <c r="H205" i="1"/>
  <c r="H227" i="1" s="1"/>
  <c r="N8" i="4"/>
  <c r="M27" i="3"/>
  <c r="M206" i="1"/>
  <c r="L206" i="1"/>
  <c r="Q206" i="1" s="1"/>
  <c r="F29" i="3"/>
  <c r="I28" i="3"/>
  <c r="H28" i="3"/>
  <c r="K183" i="1"/>
  <c r="M182" i="1"/>
  <c r="L182" i="1"/>
  <c r="Q182" i="1" s="1"/>
  <c r="K207" i="1"/>
  <c r="G29" i="3"/>
  <c r="L28" i="3"/>
  <c r="K28" i="3"/>
  <c r="J28" i="3" l="1"/>
  <c r="N6" i="4"/>
  <c r="J11" i="4"/>
  <c r="L12" i="4"/>
  <c r="K181" i="1"/>
  <c r="M181" i="1" s="1"/>
  <c r="P182" i="1"/>
  <c r="O206" i="1"/>
  <c r="P206" i="1"/>
  <c r="O205" i="1"/>
  <c r="P205" i="1"/>
  <c r="J14" i="4"/>
  <c r="J10" i="4"/>
  <c r="J8" i="4"/>
  <c r="L13" i="4"/>
  <c r="L9" i="4"/>
  <c r="J9" i="4"/>
  <c r="L14" i="4"/>
  <c r="J6" i="4"/>
  <c r="H15" i="4"/>
  <c r="J12" i="4"/>
  <c r="J13" i="4"/>
  <c r="I15" i="4"/>
  <c r="K6" i="4"/>
  <c r="S6" i="4"/>
  <c r="Q15" i="4"/>
  <c r="L10" i="4"/>
  <c r="L8" i="4"/>
  <c r="K208" i="1"/>
  <c r="L29" i="3"/>
  <c r="K29" i="3"/>
  <c r="G30" i="3"/>
  <c r="M207" i="1"/>
  <c r="L207" i="1"/>
  <c r="Q207" i="1" s="1"/>
  <c r="O182" i="1"/>
  <c r="M183" i="1"/>
  <c r="L183" i="1"/>
  <c r="Q183" i="1" s="1"/>
  <c r="I29" i="3"/>
  <c r="F30" i="3"/>
  <c r="H29" i="3"/>
  <c r="K184" i="1"/>
  <c r="M28" i="3"/>
  <c r="J29" i="3" l="1"/>
  <c r="O183" i="1"/>
  <c r="P183" i="1"/>
  <c r="O207" i="1"/>
  <c r="P207" i="1"/>
  <c r="M29" i="3"/>
  <c r="K15" i="4"/>
  <c r="L6" i="4"/>
  <c r="L15" i="4" s="1"/>
  <c r="J15" i="4"/>
  <c r="J17" i="4" s="1"/>
  <c r="K209" i="1"/>
  <c r="G31" i="3"/>
  <c r="K30" i="3"/>
  <c r="L30" i="3"/>
  <c r="M184" i="1"/>
  <c r="L184" i="1"/>
  <c r="Q184" i="1" s="1"/>
  <c r="H30" i="3"/>
  <c r="F31" i="3"/>
  <c r="I30" i="3"/>
  <c r="K185" i="1"/>
  <c r="M208" i="1"/>
  <c r="L208" i="1"/>
  <c r="Q208" i="1" s="1"/>
  <c r="J30" i="3" l="1"/>
  <c r="P184" i="1"/>
  <c r="O208" i="1"/>
  <c r="P208" i="1"/>
  <c r="M185" i="1"/>
  <c r="L185" i="1"/>
  <c r="Q185" i="1" s="1"/>
  <c r="O184" i="1"/>
  <c r="M30" i="3"/>
  <c r="K210" i="1"/>
  <c r="K31" i="3"/>
  <c r="L31" i="3"/>
  <c r="G32" i="3"/>
  <c r="G33" i="3" s="1"/>
  <c r="F32" i="3"/>
  <c r="F33" i="3" s="1"/>
  <c r="I31" i="3"/>
  <c r="H31" i="3"/>
  <c r="K186" i="1"/>
  <c r="M209" i="1"/>
  <c r="L209" i="1"/>
  <c r="Q209" i="1" s="1"/>
  <c r="J31" i="3" l="1"/>
  <c r="O185" i="1"/>
  <c r="P185" i="1"/>
  <c r="O209" i="1"/>
  <c r="P209" i="1"/>
  <c r="I33" i="3"/>
  <c r="H33" i="3"/>
  <c r="K188" i="1"/>
  <c r="K212" i="1"/>
  <c r="K33" i="3"/>
  <c r="L33" i="3"/>
  <c r="M31" i="3"/>
  <c r="H32" i="3"/>
  <c r="I32" i="3"/>
  <c r="K187" i="1"/>
  <c r="K211" i="1"/>
  <c r="K32" i="3"/>
  <c r="L32" i="3"/>
  <c r="M210" i="1"/>
  <c r="L210" i="1"/>
  <c r="Q210" i="1" s="1"/>
  <c r="M186" i="1"/>
  <c r="L186" i="1"/>
  <c r="Q186" i="1" s="1"/>
  <c r="J32" i="3" l="1"/>
  <c r="J33" i="3"/>
  <c r="P186" i="1"/>
  <c r="O210" i="1"/>
  <c r="P210" i="1"/>
  <c r="M33" i="3"/>
  <c r="M212" i="1"/>
  <c r="L212" i="1"/>
  <c r="Q212" i="1" s="1"/>
  <c r="M188" i="1"/>
  <c r="L188" i="1"/>
  <c r="Q188" i="1" s="1"/>
  <c r="M211" i="1"/>
  <c r="L211" i="1"/>
  <c r="Q211" i="1" s="1"/>
  <c r="O186" i="1"/>
  <c r="C9" i="4"/>
  <c r="M9" i="4" s="1"/>
  <c r="M32" i="3"/>
  <c r="M187" i="1"/>
  <c r="L187" i="1"/>
  <c r="Q187" i="1" s="1"/>
  <c r="P212" i="1" l="1"/>
  <c r="O188" i="1"/>
  <c r="P188" i="1"/>
  <c r="O211" i="1"/>
  <c r="P211" i="1"/>
  <c r="O187" i="1"/>
  <c r="P187" i="1"/>
  <c r="O212" i="1"/>
  <c r="M16" i="7"/>
  <c r="M15" i="7"/>
  <c r="M17" i="7"/>
  <c r="L227" i="1"/>
  <c r="L22" i="7" s="1"/>
  <c r="P22" i="7" s="1"/>
  <c r="R22" i="7" s="1"/>
  <c r="N9" i="4"/>
  <c r="U9" i="4"/>
  <c r="L17" i="7" l="1"/>
  <c r="P17" i="7" s="1"/>
  <c r="R17" i="7" s="1"/>
  <c r="L19" i="7"/>
  <c r="P19" i="7" s="1"/>
  <c r="R19" i="7" s="1"/>
  <c r="L16" i="7"/>
  <c r="P16" i="7" s="1"/>
  <c r="R16" i="7" s="1"/>
  <c r="L18" i="7"/>
  <c r="P18" i="7" s="1"/>
  <c r="R18" i="7" s="1"/>
  <c r="L15" i="7"/>
  <c r="P15" i="7" s="1"/>
  <c r="R15" i="7" s="1"/>
  <c r="L21" i="7"/>
  <c r="P21" i="7" s="1"/>
  <c r="R21" i="7" s="1"/>
  <c r="C10" i="4"/>
  <c r="M10" i="4" s="1"/>
  <c r="U10" i="4" s="1"/>
  <c r="N30" i="7"/>
  <c r="L60" i="7"/>
  <c r="P60" i="7" s="1"/>
  <c r="R60" i="7" s="1"/>
  <c r="L24" i="7"/>
  <c r="N26" i="7"/>
  <c r="L51" i="7"/>
  <c r="P51" i="7" s="1"/>
  <c r="R51" i="7" s="1"/>
  <c r="L31" i="7"/>
  <c r="L63" i="7"/>
  <c r="P63" i="7" s="1"/>
  <c r="R63" i="7" s="1"/>
  <c r="N27" i="7"/>
  <c r="M24" i="7"/>
  <c r="L49" i="7"/>
  <c r="P49" i="7" s="1"/>
  <c r="R49" i="7" s="1"/>
  <c r="L39" i="7"/>
  <c r="M39" i="7"/>
  <c r="M26" i="7"/>
  <c r="L34" i="7"/>
  <c r="N36" i="7"/>
  <c r="L64" i="7"/>
  <c r="P64" i="7" s="1"/>
  <c r="R64" i="7" s="1"/>
  <c r="L55" i="7"/>
  <c r="P55" i="7" s="1"/>
  <c r="R55" i="7" s="1"/>
  <c r="M27" i="7"/>
  <c r="L43" i="7"/>
  <c r="P43" i="7" s="1"/>
  <c r="R43" i="7" s="1"/>
  <c r="N38" i="7"/>
  <c r="L75" i="7"/>
  <c r="P75" i="7" s="1"/>
  <c r="R75" i="7" s="1"/>
  <c r="N37" i="7"/>
  <c r="N42" i="7"/>
  <c r="L37" i="7"/>
  <c r="M23" i="7"/>
  <c r="M40" i="7"/>
  <c r="L29" i="7"/>
  <c r="L53" i="7"/>
  <c r="P53" i="7" s="1"/>
  <c r="R53" i="7" s="1"/>
  <c r="L54" i="7"/>
  <c r="P54" i="7" s="1"/>
  <c r="R54" i="7" s="1"/>
  <c r="L72" i="7"/>
  <c r="P72" i="7" s="1"/>
  <c r="R72" i="7" s="1"/>
  <c r="L36" i="7"/>
  <c r="L40" i="7"/>
  <c r="L35" i="7"/>
  <c r="L70" i="7"/>
  <c r="P70" i="7" s="1"/>
  <c r="R70" i="7" s="1"/>
  <c r="L45" i="7"/>
  <c r="P45" i="7" s="1"/>
  <c r="R45" i="7" s="1"/>
  <c r="L33" i="7"/>
  <c r="L41" i="7"/>
  <c r="L61" i="7"/>
  <c r="P61" i="7" s="1"/>
  <c r="R61" i="7" s="1"/>
  <c r="N34" i="7"/>
  <c r="N39" i="7"/>
  <c r="N33" i="7"/>
  <c r="M33" i="7"/>
  <c r="N23" i="7"/>
  <c r="M34" i="7"/>
  <c r="L38" i="7"/>
  <c r="M32" i="7"/>
  <c r="N29" i="7"/>
  <c r="L32" i="7"/>
  <c r="M37" i="7"/>
  <c r="L59" i="7"/>
  <c r="P59" i="7" s="1"/>
  <c r="R59" i="7" s="1"/>
  <c r="N32" i="7"/>
  <c r="L26" i="7"/>
  <c r="L67" i="7"/>
  <c r="P67" i="7" s="1"/>
  <c r="R67" i="7" s="1"/>
  <c r="M25" i="7"/>
  <c r="N24" i="7"/>
  <c r="M30" i="7"/>
  <c r="N25" i="7"/>
  <c r="L23" i="7"/>
  <c r="N31" i="7"/>
  <c r="L50" i="7"/>
  <c r="P50" i="7" s="1"/>
  <c r="R50" i="7" s="1"/>
  <c r="L74" i="7"/>
  <c r="P74" i="7" s="1"/>
  <c r="R74" i="7" s="1"/>
  <c r="L66" i="7"/>
  <c r="P66" i="7" s="1"/>
  <c r="R66" i="7" s="1"/>
  <c r="L57" i="7"/>
  <c r="P57" i="7" s="1"/>
  <c r="R57" i="7" s="1"/>
  <c r="M35" i="7"/>
  <c r="L30" i="7"/>
  <c r="N41" i="7"/>
  <c r="L71" i="7"/>
  <c r="P71" i="7" s="1"/>
  <c r="R71" i="7" s="1"/>
  <c r="L44" i="7"/>
  <c r="P44" i="7" s="1"/>
  <c r="R44" i="7" s="1"/>
  <c r="M31" i="7"/>
  <c r="L48" i="7"/>
  <c r="P48" i="7" s="1"/>
  <c r="R48" i="7" s="1"/>
  <c r="L58" i="7"/>
  <c r="P58" i="7" s="1"/>
  <c r="R58" i="7" s="1"/>
  <c r="L69" i="7"/>
  <c r="P69" i="7" s="1"/>
  <c r="R69" i="7" s="1"/>
  <c r="L27" i="7"/>
  <c r="M29" i="7"/>
  <c r="L73" i="7"/>
  <c r="P73" i="7" s="1"/>
  <c r="R73" i="7" s="1"/>
  <c r="M36" i="7"/>
  <c r="L62" i="7"/>
  <c r="P62" i="7" s="1"/>
  <c r="R62" i="7" s="1"/>
  <c r="L52" i="7"/>
  <c r="P52" i="7" s="1"/>
  <c r="R52" i="7" s="1"/>
  <c r="L25" i="7"/>
  <c r="L65" i="7"/>
  <c r="P65" i="7" s="1"/>
  <c r="R65" i="7" s="1"/>
  <c r="N40" i="7"/>
  <c r="L42" i="7"/>
  <c r="N35" i="7"/>
  <c r="L56" i="7"/>
  <c r="P56" i="7" s="1"/>
  <c r="R56" i="7" s="1"/>
  <c r="P26" i="7" l="1"/>
  <c r="R26" i="7" s="1"/>
  <c r="P33" i="7"/>
  <c r="R33" i="7" s="1"/>
  <c r="P23" i="7"/>
  <c r="R23" i="7" s="1"/>
  <c r="P38" i="7"/>
  <c r="R38" i="7" s="1"/>
  <c r="P36" i="7"/>
  <c r="R36" i="7" s="1"/>
  <c r="P39" i="7"/>
  <c r="R39" i="7" s="1"/>
  <c r="P35" i="7"/>
  <c r="R35" i="7" s="1"/>
  <c r="P25" i="7"/>
  <c r="R25" i="7" s="1"/>
  <c r="P29" i="7"/>
  <c r="R29" i="7" s="1"/>
  <c r="P24" i="7"/>
  <c r="R24" i="7" s="1"/>
  <c r="P30" i="7"/>
  <c r="R30" i="7" s="1"/>
  <c r="P34" i="7"/>
  <c r="R34" i="7" s="1"/>
  <c r="P42" i="7"/>
  <c r="R42" i="7" s="1"/>
  <c r="P40" i="7"/>
  <c r="R40" i="7" s="1"/>
  <c r="P31" i="7"/>
  <c r="R31" i="7" s="1"/>
  <c r="P27" i="7"/>
  <c r="R27" i="7" s="1"/>
  <c r="P41" i="7"/>
  <c r="R41" i="7" s="1"/>
  <c r="P32" i="7"/>
  <c r="R32" i="7" s="1"/>
  <c r="P37" i="7"/>
  <c r="R37" i="7" s="1"/>
  <c r="N10" i="4"/>
  <c r="N15" i="4" s="1"/>
  <c r="P77" i="7" l="1"/>
  <c r="R7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<sst xmlns="http://schemas.openxmlformats.org/spreadsheetml/2006/main" count="981" uniqueCount="315">
  <si>
    <t>Master Unit Details</t>
  </si>
  <si>
    <t>Type</t>
  </si>
  <si>
    <t>Unit Status</t>
  </si>
  <si>
    <t xml:space="preserve">Unit </t>
  </si>
  <si>
    <t>Floor</t>
  </si>
  <si>
    <t>Parking count</t>
  </si>
  <si>
    <t>Internal Area
(Sq.ft)</t>
  </si>
  <si>
    <t>External Area
(Sq.ft)</t>
  </si>
  <si>
    <t>Total Area
(Sq.ft)</t>
  </si>
  <si>
    <t>Terrace Area</t>
  </si>
  <si>
    <t>Sellable Area
(Sq. ft)</t>
  </si>
  <si>
    <t>Price/Sq.ft</t>
  </si>
  <si>
    <t>Price</t>
  </si>
  <si>
    <t>Column1</t>
  </si>
  <si>
    <t>Internal</t>
  </si>
  <si>
    <t>External</t>
  </si>
  <si>
    <t>Total</t>
  </si>
  <si>
    <t>Status</t>
  </si>
  <si>
    <t>2 Bedroom</t>
  </si>
  <si>
    <t>Sold</t>
  </si>
  <si>
    <r>
      <t>3</t>
    </r>
    <r>
      <rPr>
        <vertAlign val="superscript"/>
        <sz val="11"/>
        <color theme="4" tint="-0.249977111117893"/>
        <rFont val="Calibri"/>
        <family val="2"/>
        <scheme val="minor"/>
      </rPr>
      <t>rd</t>
    </r>
  </si>
  <si>
    <t>Available</t>
  </si>
  <si>
    <r>
      <t>4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</si>
  <si>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5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</si>
  <si>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6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</si>
  <si>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3 Bedroom</t>
  </si>
  <si>
    <r>
      <t>7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</si>
  <si>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3 Bedroom Pool</t>
  </si>
  <si>
    <t>3 Bedroom XL</t>
  </si>
  <si>
    <r>
      <t>8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</si>
  <si>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4 Bedroom Simplex</t>
  </si>
  <si>
    <t>3 Bedroom Duplex</t>
  </si>
  <si>
    <r>
      <t>9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</si>
  <si>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4 Bedroom Duplex</t>
  </si>
  <si>
    <t>5 Bedroom Duplex</t>
  </si>
  <si>
    <r>
      <t>11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</si>
  <si>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Bank Locked</t>
  </si>
  <si>
    <r>
      <t>12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</si>
  <si>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13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</si>
  <si>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14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</si>
  <si>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15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</si>
  <si>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16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</si>
  <si>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17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</si>
  <si>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18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</si>
  <si>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19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</si>
  <si>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20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</si>
  <si>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21</t>
    </r>
    <r>
      <rPr>
        <vertAlign val="superscript"/>
        <sz val="11"/>
        <color theme="4" tint="-0.249977111117893"/>
        <rFont val="Calibri"/>
        <family val="2"/>
        <scheme val="minor"/>
      </rPr>
      <t>st</t>
    </r>
  </si>
  <si>
    <r>
      <t>22</t>
    </r>
    <r>
      <rPr>
        <vertAlign val="superscript"/>
        <sz val="11"/>
        <color theme="4" tint="-0.249977111117893"/>
        <rFont val="Calibri"/>
        <family val="2"/>
        <scheme val="minor"/>
      </rPr>
      <t>nd</t>
    </r>
  </si>
  <si>
    <r>
      <t>23</t>
    </r>
    <r>
      <rPr>
        <vertAlign val="superscript"/>
        <sz val="11"/>
        <color theme="4" tint="-0.249977111117893"/>
        <rFont val="Calibri"/>
        <family val="2"/>
        <scheme val="minor"/>
      </rPr>
      <t>rd</t>
    </r>
  </si>
  <si>
    <r>
      <t>24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</si>
  <si>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25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</si>
  <si>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26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</si>
  <si>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27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</si>
  <si>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28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</si>
  <si>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29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</si>
  <si>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r>
      <t>30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</si>
  <si>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4 Bedroom Pool</t>
  </si>
  <si>
    <t>60th</t>
  </si>
  <si>
    <r>
      <t>63</t>
    </r>
    <r>
      <rPr>
        <vertAlign val="superscript"/>
        <sz val="11"/>
        <color theme="4" tint="-0.249977111117893"/>
        <rFont val="Calibri"/>
        <family val="2"/>
        <scheme val="minor"/>
      </rPr>
      <t>rd</t>
    </r>
  </si>
  <si>
    <r>
      <t>69</t>
    </r>
    <r>
      <rPr>
        <vertAlign val="superscript"/>
        <sz val="11"/>
        <color theme="4" tint="-0.249977111117893"/>
        <rFont val="Calibri"/>
        <family val="2"/>
        <scheme val="minor"/>
      </rPr>
      <t>th</t>
    </r>
  </si>
  <si>
    <t>2 Bed Room</t>
  </si>
  <si>
    <t>Launch 1</t>
  </si>
  <si>
    <t>3rd-12th</t>
  </si>
  <si>
    <t>13th-18th</t>
  </si>
  <si>
    <t>19th-27th</t>
  </si>
  <si>
    <t>Launch 2</t>
  </si>
  <si>
    <t>Ascending - 2 Bedroom</t>
  </si>
  <si>
    <t>Launch 3</t>
  </si>
  <si>
    <t>Ascending - 3 Bedroom</t>
  </si>
  <si>
    <t>Pool &amp; Height Premium</t>
  </si>
  <si>
    <t>Average</t>
  </si>
  <si>
    <t>Terrace rate as percantage of internal</t>
  </si>
  <si>
    <t>Rate</t>
  </si>
  <si>
    <t>3 BR</t>
  </si>
  <si>
    <t>2 BR</t>
  </si>
  <si>
    <t>Terrace</t>
  </si>
  <si>
    <t>Floor Total</t>
  </si>
  <si>
    <t>3 BR Pool</t>
  </si>
  <si>
    <t>3 BR DX</t>
  </si>
  <si>
    <t>4 BR SX</t>
  </si>
  <si>
    <t>4 BR DX</t>
  </si>
  <si>
    <t>5 BR DX</t>
  </si>
  <si>
    <t>4 Bedroom SX</t>
  </si>
  <si>
    <t>3 BR Pool Ascending</t>
  </si>
  <si>
    <t>4 BR Pool Ascending</t>
  </si>
  <si>
    <t>3 DX Ascending</t>
  </si>
  <si>
    <t>4 DX Ascending</t>
  </si>
  <si>
    <t>3 Pool Terrace</t>
  </si>
  <si>
    <t>4 Pool Terrace Rate</t>
  </si>
  <si>
    <t>3 Bedroom DX</t>
  </si>
  <si>
    <t>4 Bedroom DX</t>
  </si>
  <si>
    <t>5 Bedroom DX</t>
  </si>
  <si>
    <t>DX Terrace Rate</t>
  </si>
  <si>
    <t>Duplex Premium</t>
  </si>
  <si>
    <t>4 mt Premium</t>
  </si>
  <si>
    <t>Premium Over Standard 3 BR</t>
  </si>
  <si>
    <t>4 BR Pool</t>
  </si>
  <si>
    <t>3-BR</t>
  </si>
  <si>
    <t>68-69</t>
  </si>
  <si>
    <t>Muraba Veil Summary</t>
  </si>
  <si>
    <t>Muraba Veil Sale Summary</t>
  </si>
  <si>
    <t>3BR</t>
  </si>
  <si>
    <t xml:space="preserve">2BR </t>
  </si>
  <si>
    <t>2BR Delux</t>
  </si>
  <si>
    <t>2BR Ultra</t>
  </si>
  <si>
    <t>1BR</t>
  </si>
  <si>
    <t>Typology</t>
  </si>
  <si>
    <t>Number of Units</t>
  </si>
  <si>
    <t>Area (sqft)</t>
  </si>
  <si>
    <t>Area (sqm)</t>
  </si>
  <si>
    <t>Internal (sqft/unit)</t>
  </si>
  <si>
    <t>Terrace (sqft/unit)</t>
  </si>
  <si>
    <t>Total Internal (sqft)</t>
  </si>
  <si>
    <t>Total Terrace (sqft)</t>
  </si>
  <si>
    <t>Total Sellable</t>
  </si>
  <si>
    <t>Counted Terraces</t>
  </si>
  <si>
    <t>Total Sellable Counted</t>
  </si>
  <si>
    <t>Price (per unit)</t>
  </si>
  <si>
    <t>Total Sales</t>
  </si>
  <si>
    <t>Parking</t>
  </si>
  <si>
    <t>Total Parking</t>
  </si>
  <si>
    <t xml:space="preserve">Sqr mtr to  </t>
  </si>
  <si>
    <t>Sale Value</t>
  </si>
  <si>
    <t>Commision Percentage</t>
  </si>
  <si>
    <t>0-100M</t>
  </si>
  <si>
    <t>Muraba Veil Furniture Pack</t>
  </si>
  <si>
    <t>101M to 200M</t>
  </si>
  <si>
    <t>Amount in AED</t>
  </si>
  <si>
    <t>201M to 300M</t>
  </si>
  <si>
    <t>301M to 400M</t>
  </si>
  <si>
    <t>400M+</t>
  </si>
  <si>
    <t>4 Bedroom</t>
  </si>
  <si>
    <t>5 Bedroom PH</t>
  </si>
  <si>
    <t>02 series</t>
  </si>
  <si>
    <t>03 series</t>
  </si>
  <si>
    <t>Current</t>
  </si>
  <si>
    <t>Proposed</t>
  </si>
  <si>
    <t>Unit Type 1</t>
  </si>
  <si>
    <t>MURABA VEIL - PRICING</t>
  </si>
  <si>
    <t>LEVELS</t>
  </si>
  <si>
    <t>UNITS</t>
  </si>
  <si>
    <t>ROOF POOL, RESTAURANT</t>
  </si>
  <si>
    <t xml:space="preserve">6901- 5BD PH </t>
  </si>
  <si>
    <t>MEP-6</t>
  </si>
  <si>
    <t xml:space="preserve">6501-3BR DPLX </t>
  </si>
  <si>
    <t xml:space="preserve">6502-4BR DPLX </t>
  </si>
  <si>
    <t xml:space="preserve">6301-3BR DPLX </t>
  </si>
  <si>
    <t xml:space="preserve">6302-4R DPLX </t>
  </si>
  <si>
    <t xml:space="preserve">6101-3BR DPLX </t>
  </si>
  <si>
    <t xml:space="preserve">6102-4BR DPLX </t>
  </si>
  <si>
    <t>5901-3BR DPLX</t>
  </si>
  <si>
    <t>5902-4BR DPLX</t>
  </si>
  <si>
    <t>MEP-5</t>
  </si>
  <si>
    <t xml:space="preserve">5701-4BR XL </t>
  </si>
  <si>
    <t xml:space="preserve">5601-4BR XL </t>
  </si>
  <si>
    <t xml:space="preserve">5501-4BR XL </t>
  </si>
  <si>
    <t xml:space="preserve">5401-4BR XL </t>
  </si>
  <si>
    <t>5301-4BR - XL</t>
  </si>
  <si>
    <t>5201-4BR - XL</t>
  </si>
  <si>
    <t>5101-4BR - XL</t>
  </si>
  <si>
    <t>MEP-4</t>
  </si>
  <si>
    <t>4901-3BR P</t>
  </si>
  <si>
    <t xml:space="preserve">4902-4BR P </t>
  </si>
  <si>
    <t>4801-3BR P</t>
  </si>
  <si>
    <t xml:space="preserve">4802-4BR P  </t>
  </si>
  <si>
    <t>4701-3BR P</t>
  </si>
  <si>
    <t xml:space="preserve">4702-3BR P  </t>
  </si>
  <si>
    <t>4601-3BR P</t>
  </si>
  <si>
    <t xml:space="preserve">4602-4BR P  </t>
  </si>
  <si>
    <t>4501-3BR P</t>
  </si>
  <si>
    <t xml:space="preserve">4502-4BR P  </t>
  </si>
  <si>
    <t>4401-3BR P</t>
  </si>
  <si>
    <t>4402-4BR P</t>
  </si>
  <si>
    <t>4301-3BR P</t>
  </si>
  <si>
    <t xml:space="preserve">4302-4BR P </t>
  </si>
  <si>
    <t>4201-3BR P - Sold</t>
  </si>
  <si>
    <t>4202-4BR P</t>
  </si>
  <si>
    <t>4101-3BR P - Sold</t>
  </si>
  <si>
    <t xml:space="preserve">4102-4BR P  </t>
  </si>
  <si>
    <t>4001-3BR P - Sold</t>
  </si>
  <si>
    <t xml:space="preserve">4002-4BR P </t>
  </si>
  <si>
    <t>3901-3BR P</t>
  </si>
  <si>
    <t xml:space="preserve">3902-4BR P </t>
  </si>
  <si>
    <t>3801-3BR P</t>
  </si>
  <si>
    <t xml:space="preserve">3802-4BR P </t>
  </si>
  <si>
    <t>3701-3BR P - Sold</t>
  </si>
  <si>
    <t xml:space="preserve">3702-4BR P  </t>
  </si>
  <si>
    <t>3601-3BR P - Sold</t>
  </si>
  <si>
    <t xml:space="preserve">3602-4BR P </t>
  </si>
  <si>
    <t>3501-3BR P - IAG Sold</t>
  </si>
  <si>
    <t xml:space="preserve">3502-3BR P  </t>
  </si>
  <si>
    <t>Sold Units: 41</t>
  </si>
  <si>
    <t>3401-3BR P - Sold</t>
  </si>
  <si>
    <t>3402-4BR P</t>
  </si>
  <si>
    <t>IAG Units: 4</t>
  </si>
  <si>
    <t>3301-3BR P - Sold</t>
  </si>
  <si>
    <t>3302-4BR P - Sold</t>
  </si>
  <si>
    <t>Total Sold: 45</t>
  </si>
  <si>
    <t>MEP-3</t>
  </si>
  <si>
    <t>MAJILIS -MEETING ROOMS</t>
  </si>
  <si>
    <t>3001-3BR - IAG Sold</t>
  </si>
  <si>
    <t xml:space="preserve">3002-2 BR </t>
  </si>
  <si>
    <t>3003-2 BR - IAG Sold</t>
  </si>
  <si>
    <t>2901-3BR - Sold</t>
  </si>
  <si>
    <t xml:space="preserve">2902-2 BR </t>
  </si>
  <si>
    <t xml:space="preserve">2903-2 BR </t>
  </si>
  <si>
    <t>2801-3BR - Sold</t>
  </si>
  <si>
    <t>2802-2 BR - Sold</t>
  </si>
  <si>
    <t>2803-2 BR</t>
  </si>
  <si>
    <t>2701-3BR - Sold</t>
  </si>
  <si>
    <t xml:space="preserve">2702-2 BR </t>
  </si>
  <si>
    <t xml:space="preserve">2703-2 BR </t>
  </si>
  <si>
    <t>2601-3BR - Sold</t>
  </si>
  <si>
    <t xml:space="preserve">2602-2 BR </t>
  </si>
  <si>
    <t>2603-2 BR</t>
  </si>
  <si>
    <t>2501-3BR - Sold</t>
  </si>
  <si>
    <t>2502-2 BR</t>
  </si>
  <si>
    <t>2503-2 BR</t>
  </si>
  <si>
    <t>2401-3BR - Sold</t>
  </si>
  <si>
    <t>2402-2 BR</t>
  </si>
  <si>
    <t xml:space="preserve">2403-2 BR </t>
  </si>
  <si>
    <t xml:space="preserve">2301-3BR </t>
  </si>
  <si>
    <t xml:space="preserve">2302-2 BR </t>
  </si>
  <si>
    <t xml:space="preserve">2303-2 BR </t>
  </si>
  <si>
    <t xml:space="preserve">2201-3BR </t>
  </si>
  <si>
    <t xml:space="preserve">2202-2 BR </t>
  </si>
  <si>
    <t xml:space="preserve">2203-2 BR </t>
  </si>
  <si>
    <t xml:space="preserve">2101-3BR </t>
  </si>
  <si>
    <t>2102-2 BR - Sold</t>
  </si>
  <si>
    <t xml:space="preserve">2103-2 BR </t>
  </si>
  <si>
    <t>2001-3BR</t>
  </si>
  <si>
    <t>2002-2 BR - Sold</t>
  </si>
  <si>
    <t>2003-2 BR - Sold</t>
  </si>
  <si>
    <t xml:space="preserve">1901-3BR </t>
  </si>
  <si>
    <t xml:space="preserve">1902-2 BR </t>
  </si>
  <si>
    <t xml:space="preserve">1903-2 BR </t>
  </si>
  <si>
    <t>1801-3BR</t>
  </si>
  <si>
    <t>1802-2 BR</t>
  </si>
  <si>
    <t>1803-2 BR</t>
  </si>
  <si>
    <t>1701-3BR - Sold</t>
  </si>
  <si>
    <t>1702-2 BR - Sold</t>
  </si>
  <si>
    <t>1703-2 BR</t>
  </si>
  <si>
    <t>1601-3BR - Sold</t>
  </si>
  <si>
    <t>1602-2 BR</t>
  </si>
  <si>
    <t>1603-2 BR</t>
  </si>
  <si>
    <t>1501-3BR - Sold</t>
  </si>
  <si>
    <t xml:space="preserve">1502-2 BR </t>
  </si>
  <si>
    <t xml:space="preserve">1503-2 BR </t>
  </si>
  <si>
    <t>1401-3BR</t>
  </si>
  <si>
    <t>1402-2 BR</t>
  </si>
  <si>
    <t>1403-2 BR</t>
  </si>
  <si>
    <t>1301-3BR</t>
  </si>
  <si>
    <t>1302-2 BR</t>
  </si>
  <si>
    <t>1303-2 BR</t>
  </si>
  <si>
    <t>1201-3BR - Sold</t>
  </si>
  <si>
    <t>1202-2 BR</t>
  </si>
  <si>
    <t>1203-2 BR</t>
  </si>
  <si>
    <t>1101-3BR - Sold</t>
  </si>
  <si>
    <t>1102-2 BR - Sold</t>
  </si>
  <si>
    <t xml:space="preserve">1103-2 BR </t>
  </si>
  <si>
    <t>MEP-2</t>
  </si>
  <si>
    <t>901-3BR - Sold</t>
  </si>
  <si>
    <t>902-2BR</t>
  </si>
  <si>
    <t>903 -2BR</t>
  </si>
  <si>
    <t>801-3BR - Sold</t>
  </si>
  <si>
    <t>802-2BR - Sold</t>
  </si>
  <si>
    <t>803 -2BR - Sold</t>
  </si>
  <si>
    <t>701-3BR - Sold</t>
  </si>
  <si>
    <t>702-2BR - Sold</t>
  </si>
  <si>
    <t>703-2BR</t>
  </si>
  <si>
    <t>601-3BR - Sold</t>
  </si>
  <si>
    <t>602-2BR</t>
  </si>
  <si>
    <t>603 2BR - Sold</t>
  </si>
  <si>
    <t>501-3BR - Sold</t>
  </si>
  <si>
    <t>502-2BR - Sold</t>
  </si>
  <si>
    <t>503-2BR</t>
  </si>
  <si>
    <t>401-3BR - Sold</t>
  </si>
  <si>
    <t>402-2BR - IAG Sold</t>
  </si>
  <si>
    <t>403-2BR - Sold</t>
  </si>
  <si>
    <t>301-3BR - Sold</t>
  </si>
  <si>
    <t>302-2BR - Sold</t>
  </si>
  <si>
    <t>303-2BR - Sold</t>
  </si>
  <si>
    <t>MEP-1</t>
  </si>
  <si>
    <t>Column2</t>
  </si>
  <si>
    <t>Column3</t>
  </si>
  <si>
    <t xml:space="preserve">Floor Sale Total </t>
  </si>
  <si>
    <t>Floor Size Total</t>
  </si>
  <si>
    <t>Floor Price Sq. Ft</t>
  </si>
  <si>
    <t>3303 - 2 BR</t>
  </si>
  <si>
    <t>3302- 2 BR</t>
  </si>
  <si>
    <t>3301-3BR</t>
  </si>
  <si>
    <t>5701-3BR P</t>
  </si>
  <si>
    <t>5601-3BR P</t>
  </si>
  <si>
    <t>5602-4BR P</t>
  </si>
  <si>
    <t>5702-4BR P</t>
  </si>
  <si>
    <t>5901-3BR P</t>
  </si>
  <si>
    <t>6001-3BR P</t>
  </si>
  <si>
    <t>6101-3BR P</t>
  </si>
  <si>
    <t>6201-3BR P</t>
  </si>
  <si>
    <t>6301-3BR P</t>
  </si>
  <si>
    <t>6302-4BR P</t>
  </si>
  <si>
    <t>6202-4BR P</t>
  </si>
  <si>
    <t>6102-4BR P</t>
  </si>
  <si>
    <t>6002-4BR P</t>
  </si>
  <si>
    <t>5902-4BR P</t>
  </si>
  <si>
    <t>6401 - 4 BR XL</t>
  </si>
  <si>
    <t>72-73</t>
  </si>
  <si>
    <t>2 Bedroom - NEW</t>
  </si>
  <si>
    <t>Column4</t>
  </si>
  <si>
    <t>Column5</t>
  </si>
  <si>
    <t>Column6</t>
  </si>
  <si>
    <t>2 Bedroom (02)</t>
  </si>
  <si>
    <t>2 Bedroom (03)</t>
  </si>
  <si>
    <t>4 XL Ascending</t>
  </si>
  <si>
    <t>XL Terrace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</si>
</sst>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000"/>
    <numFmt numFmtId="167" formatCode="_(* #,##0.00000000_);_(* \(#,##0.00000000\);_(* &quot;-&quot;??_);_(@_)"/>
    <numFmt numFmtId="168" formatCode="_(* #,##0.000_);_(* \(#,##0.000\);_(* &quot;-&quot;??_);_(@_)"/>
    <numFmt numFmtId="169" formatCode="_(* #,##0.00000_);_(* \(#,##0.00000\);_(* &quot;-&quot;??_);_(@_)"/>
    <numFmt numFmtId="170" formatCode="_-* #,##0.0_-;\-* #,##0.0_-;_-* &quot;-&quot;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vertAlign val="superscript"/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Trebuchet MS"/>
      <family val="2"/>
    </font>
    <font>
      <sz val="14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7558519241921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/>
      <diagonal/>
    </border>
    <border>
      <left style="medium">
        <color indexed="64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medium">
        <color indexed="64"/>
      </right>
      <top style="medium">
        <color indexed="64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medium">
        <color indexed="64"/>
      </right>
      <top/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 style="thin">
        <color rgb="FF505050"/>
      </bottom>
      <diagonal/>
    </border>
    <border>
      <left/>
      <right/>
      <top style="medium">
        <color indexed="64"/>
      </top>
      <bottom style="thin">
        <color rgb="FF505050"/>
      </bottom>
      <diagonal/>
    </border>
    <border>
      <left/>
      <right style="medium">
        <color indexed="64"/>
      </right>
      <top style="medium">
        <color indexed="64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 style="thin">
        <color rgb="FF505050"/>
      </top>
      <bottom/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indexed="64"/>
      </top>
      <bottom style="thin">
        <color rgb="FF505050"/>
      </bottom>
      <diagonal/>
    </border>
    <border>
      <left/>
      <right style="medium">
        <color indexed="64"/>
      </right>
      <top style="thin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/>
      <right/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medium">
        <color indexed="64"/>
      </bottom>
      <diagonal/>
    </border>
    <border>
      <left style="medium">
        <color indexed="64"/>
      </left>
      <right/>
      <top style="thin">
        <color rgb="FF505050"/>
      </top>
      <bottom style="medium">
        <color indexed="64"/>
      </bottom>
      <diagonal/>
    </border>
    <border>
      <left/>
      <right style="medium">
        <color indexed="64"/>
      </right>
      <top style="thin">
        <color rgb="FF505050"/>
      </top>
      <bottom style="medium">
        <color indexed="64"/>
      </bottom>
      <diagonal/>
    </border>
    <border>
      <left/>
      <right/>
      <top/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0" borderId="0"/>
  </cellStyleXfs>
  <cellXfs count="339">
    <xf numFmtId="0" fontId="0" fillId="0" borderId="0" xfId="0"/>
    <xf numFmtId="0" fontId="2" fillId="0" borderId="0" xfId="3" applyBorder="1"/>
    <xf numFmtId="164" fontId="0" fillId="0" borderId="0" xfId="1" applyFont="1"/>
    <xf numFmtId="3" fontId="6" fillId="0" borderId="2" xfId="0" applyNumberFormat="1" applyFont="1" applyBorder="1" applyAlignment="1">
      <alignment horizontal="center"/>
    </xf>
    <xf numFmtId="164" fontId="0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64" fontId="0" fillId="0" borderId="2" xfId="1" applyFont="1" applyBorder="1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3" fontId="7" fillId="0" borderId="0" xfId="1" applyNumberFormat="1" applyFont="1" applyFill="1" applyAlignment="1">
      <alignment horizontal="center"/>
    </xf>
    <xf numFmtId="164" fontId="0" fillId="0" borderId="0" xfId="0" applyNumberFormat="1"/>
    <xf numFmtId="43" fontId="0" fillId="0" borderId="0" xfId="0" applyNumberFormat="1"/>
    <xf numFmtId="164" fontId="0" fillId="0" borderId="0" xfId="1" applyFont="1" applyFill="1"/>
    <xf numFmtId="165" fontId="0" fillId="0" borderId="0" xfId="0" applyNumberFormat="1"/>
    <xf numFmtId="9" fontId="7" fillId="0" borderId="0" xfId="2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0" xfId="0" applyFill="1"/>
    <xf numFmtId="165" fontId="9" fillId="4" borderId="7" xfId="0" applyNumberFormat="1" applyFont="1" applyFill="1" applyBorder="1" applyAlignment="1">
      <alignment wrapText="1"/>
    </xf>
    <xf numFmtId="165" fontId="9" fillId="0" borderId="0" xfId="0" applyNumberFormat="1" applyFont="1" applyAlignment="1">
      <alignment wrapText="1"/>
    </xf>
    <xf numFmtId="16" fontId="0" fillId="0" borderId="0" xfId="0" applyNumberFormat="1"/>
    <xf numFmtId="165" fontId="9" fillId="0" borderId="7" xfId="0" applyNumberFormat="1" applyFont="1" applyBorder="1" applyAlignment="1">
      <alignment wrapText="1"/>
    </xf>
    <xf numFmtId="165" fontId="0" fillId="4" borderId="0" xfId="0" applyNumberFormat="1" applyFill="1"/>
    <xf numFmtId="0" fontId="4" fillId="0" borderId="10" xfId="0" applyFont="1" applyBorder="1"/>
    <xf numFmtId="165" fontId="4" fillId="0" borderId="10" xfId="0" applyNumberFormat="1" applyFont="1" applyBorder="1"/>
    <xf numFmtId="165" fontId="4" fillId="0" borderId="0" xfId="0" applyNumberFormat="1" applyFont="1"/>
    <xf numFmtId="9" fontId="0" fillId="4" borderId="0" xfId="0" applyNumberFormat="1" applyFill="1"/>
    <xf numFmtId="10" fontId="0" fillId="0" borderId="0" xfId="0" applyNumberFormat="1"/>
    <xf numFmtId="0" fontId="4" fillId="0" borderId="1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65" fontId="0" fillId="0" borderId="18" xfId="0" applyNumberFormat="1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5" xfId="0" applyBorder="1" applyAlignment="1">
      <alignment horizontal="right"/>
    </xf>
    <xf numFmtId="165" fontId="0" fillId="0" borderId="26" xfId="0" applyNumberFormat="1" applyBorder="1" applyAlignment="1">
      <alignment horizontal="right"/>
    </xf>
    <xf numFmtId="165" fontId="4" fillId="0" borderId="24" xfId="0" applyNumberFormat="1" applyFont="1" applyBorder="1" applyAlignment="1">
      <alignment horizontal="right"/>
    </xf>
    <xf numFmtId="165" fontId="0" fillId="0" borderId="18" xfId="0" applyNumberFormat="1" applyBorder="1"/>
    <xf numFmtId="3" fontId="0" fillId="0" borderId="18" xfId="0" applyNumberFormat="1" applyBorder="1"/>
    <xf numFmtId="3" fontId="0" fillId="0" borderId="25" xfId="0" applyNumberFormat="1" applyBorder="1"/>
    <xf numFmtId="165" fontId="0" fillId="0" borderId="26" xfId="0" applyNumberFormat="1" applyBorder="1"/>
    <xf numFmtId="165" fontId="0" fillId="0" borderId="25" xfId="0" applyNumberFormat="1" applyBorder="1"/>
    <xf numFmtId="165" fontId="0" fillId="0" borderId="29" xfId="0" applyNumberFormat="1" applyBorder="1"/>
    <xf numFmtId="165" fontId="0" fillId="0" borderId="27" xfId="0" applyNumberFormat="1" applyBorder="1"/>
    <xf numFmtId="165" fontId="4" fillId="0" borderId="30" xfId="0" applyNumberFormat="1" applyFont="1" applyBorder="1"/>
    <xf numFmtId="165" fontId="0" fillId="0" borderId="28" xfId="0" applyNumberFormat="1" applyBorder="1"/>
    <xf numFmtId="165" fontId="0" fillId="0" borderId="31" xfId="0" applyNumberFormat="1" applyBorder="1"/>
    <xf numFmtId="165" fontId="0" fillId="0" borderId="32" xfId="0" applyNumberFormat="1" applyBorder="1"/>
    <xf numFmtId="165" fontId="0" fillId="0" borderId="34" xfId="0" applyNumberFormat="1" applyBorder="1"/>
    <xf numFmtId="165" fontId="0" fillId="0" borderId="35" xfId="0" applyNumberFormat="1" applyBorder="1"/>
    <xf numFmtId="165" fontId="4" fillId="0" borderId="24" xfId="0" applyNumberFormat="1" applyFont="1" applyBorder="1"/>
    <xf numFmtId="165" fontId="0" fillId="0" borderId="36" xfId="0" applyNumberFormat="1" applyBorder="1"/>
    <xf numFmtId="165" fontId="0" fillId="0" borderId="37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3" fontId="0" fillId="0" borderId="40" xfId="0" applyNumberFormat="1" applyBorder="1"/>
    <xf numFmtId="3" fontId="0" fillId="0" borderId="43" xfId="0" applyNumberFormat="1" applyBorder="1"/>
    <xf numFmtId="165" fontId="0" fillId="0" borderId="44" xfId="0" applyNumberFormat="1" applyBorder="1"/>
    <xf numFmtId="165" fontId="0" fillId="0" borderId="43" xfId="0" applyNumberFormat="1" applyBorder="1"/>
    <xf numFmtId="165" fontId="0" fillId="0" borderId="45" xfId="0" applyNumberFormat="1" applyBorder="1"/>
    <xf numFmtId="165" fontId="4" fillId="0" borderId="46" xfId="0" applyNumberFormat="1" applyFont="1" applyBorder="1"/>
    <xf numFmtId="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0" fillId="0" borderId="0" xfId="1" applyNumberFormat="1" applyFont="1"/>
    <xf numFmtId="165" fontId="9" fillId="3" borderId="0" xfId="0" applyNumberFormat="1" applyFont="1" applyFill="1" applyAlignment="1">
      <alignment wrapText="1"/>
    </xf>
    <xf numFmtId="0" fontId="0" fillId="0" borderId="47" xfId="0" applyBorder="1" applyAlignment="1">
      <alignment horizontal="left"/>
    </xf>
    <xf numFmtId="0" fontId="4" fillId="0" borderId="0" xfId="0" applyFont="1"/>
    <xf numFmtId="165" fontId="0" fillId="0" borderId="0" xfId="0" applyNumberFormat="1" applyAlignment="1">
      <alignment horizontal="right"/>
    </xf>
    <xf numFmtId="165" fontId="0" fillId="0" borderId="29" xfId="0" applyNumberForma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52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3" fontId="0" fillId="0" borderId="55" xfId="0" applyNumberFormat="1" applyBorder="1"/>
    <xf numFmtId="3" fontId="0" fillId="0" borderId="56" xfId="0" applyNumberFormat="1" applyBorder="1"/>
    <xf numFmtId="165" fontId="0" fillId="0" borderId="20" xfId="0" applyNumberFormat="1" applyBorder="1"/>
    <xf numFmtId="165" fontId="0" fillId="0" borderId="55" xfId="0" applyNumberFormat="1" applyBorder="1"/>
    <xf numFmtId="165" fontId="0" fillId="0" borderId="56" xfId="0" applyNumberFormat="1" applyBorder="1"/>
    <xf numFmtId="0" fontId="0" fillId="0" borderId="27" xfId="0" applyBorder="1"/>
    <xf numFmtId="0" fontId="0" fillId="0" borderId="53" xfId="0" applyBorder="1"/>
    <xf numFmtId="0" fontId="0" fillId="0" borderId="7" xfId="0" applyBorder="1"/>
    <xf numFmtId="165" fontId="0" fillId="0" borderId="8" xfId="0" applyNumberFormat="1" applyBorder="1"/>
    <xf numFmtId="165" fontId="0" fillId="0" borderId="53" xfId="0" applyNumberFormat="1" applyBorder="1"/>
    <xf numFmtId="165" fontId="0" fillId="0" borderId="7" xfId="0" applyNumberFormat="1" applyBorder="1"/>
    <xf numFmtId="0" fontId="0" fillId="0" borderId="54" xfId="0" applyBorder="1"/>
    <xf numFmtId="3" fontId="0" fillId="0" borderId="47" xfId="0" applyNumberFormat="1" applyBorder="1"/>
    <xf numFmtId="0" fontId="0" fillId="0" borderId="19" xfId="0" applyBorder="1"/>
    <xf numFmtId="165" fontId="0" fillId="0" borderId="57" xfId="0" applyNumberFormat="1" applyBorder="1"/>
    <xf numFmtId="165" fontId="0" fillId="0" borderId="58" xfId="0" applyNumberFormat="1" applyBorder="1"/>
    <xf numFmtId="0" fontId="0" fillId="0" borderId="32" xfId="0" applyBorder="1"/>
    <xf numFmtId="165" fontId="0" fillId="4" borderId="27" xfId="0" applyNumberFormat="1" applyFill="1" applyBorder="1"/>
    <xf numFmtId="165" fontId="0" fillId="0" borderId="26" xfId="0" applyNumberFormat="1" applyBorder="1" applyAlignment="1">
      <alignment horizontal="left"/>
    </xf>
    <xf numFmtId="165" fontId="0" fillId="0" borderId="31" xfId="0" applyNumberFormat="1" applyBorder="1" applyAlignment="1">
      <alignment horizontal="left"/>
    </xf>
    <xf numFmtId="165" fontId="0" fillId="0" borderId="33" xfId="0" applyNumberFormat="1" applyBorder="1" applyAlignment="1">
      <alignment horizontal="left"/>
    </xf>
    <xf numFmtId="0" fontId="0" fillId="0" borderId="8" xfId="0" applyBorder="1"/>
    <xf numFmtId="165" fontId="0" fillId="0" borderId="54" xfId="0" applyNumberFormat="1" applyBorder="1"/>
    <xf numFmtId="165" fontId="0" fillId="0" borderId="30" xfId="0" applyNumberFormat="1" applyBorder="1"/>
    <xf numFmtId="0" fontId="0" fillId="0" borderId="30" xfId="0" applyBorder="1"/>
    <xf numFmtId="0" fontId="0" fillId="0" borderId="18" xfId="0" applyBorder="1"/>
    <xf numFmtId="0" fontId="0" fillId="0" borderId="25" xfId="0" applyBorder="1"/>
    <xf numFmtId="164" fontId="0" fillId="0" borderId="7" xfId="0" applyNumberFormat="1" applyBorder="1"/>
    <xf numFmtId="165" fontId="0" fillId="0" borderId="8" xfId="0" applyNumberFormat="1" applyBorder="1" applyAlignment="1">
      <alignment horizontal="left"/>
    </xf>
    <xf numFmtId="165" fontId="0" fillId="0" borderId="53" xfId="0" applyNumberFormat="1" applyBorder="1" applyAlignment="1">
      <alignment horizontal="left"/>
    </xf>
    <xf numFmtId="165" fontId="0" fillId="0" borderId="7" xfId="0" applyNumberFormat="1" applyBorder="1" applyAlignment="1">
      <alignment horizontal="left"/>
    </xf>
    <xf numFmtId="165" fontId="0" fillId="0" borderId="40" xfId="0" applyNumberFormat="1" applyBorder="1" applyAlignment="1">
      <alignment horizontal="center"/>
    </xf>
    <xf numFmtId="165" fontId="0" fillId="0" borderId="59" xfId="0" applyNumberFormat="1" applyBorder="1"/>
    <xf numFmtId="0" fontId="0" fillId="0" borderId="44" xfId="0" applyBorder="1"/>
    <xf numFmtId="0" fontId="0" fillId="0" borderId="40" xfId="0" applyBorder="1"/>
    <xf numFmtId="0" fontId="0" fillId="0" borderId="43" xfId="0" applyBorder="1"/>
    <xf numFmtId="0" fontId="0" fillId="0" borderId="41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165" fontId="0" fillId="0" borderId="63" xfId="0" applyNumberFormat="1" applyBorder="1"/>
    <xf numFmtId="0" fontId="3" fillId="5" borderId="0" xfId="0" applyFont="1" applyFill="1"/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168" fontId="10" fillId="0" borderId="0" xfId="1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3" fillId="5" borderId="64" xfId="0" applyFont="1" applyFill="1" applyBorder="1"/>
    <xf numFmtId="0" fontId="3" fillId="5" borderId="65" xfId="0" applyFont="1" applyFill="1" applyBorder="1" applyAlignment="1">
      <alignment horizontal="center"/>
    </xf>
    <xf numFmtId="0" fontId="12" fillId="5" borderId="6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169" fontId="4" fillId="4" borderId="0" xfId="1" applyNumberFormat="1" applyFont="1" applyFill="1"/>
    <xf numFmtId="0" fontId="7" fillId="2" borderId="64" xfId="0" applyFont="1" applyFill="1" applyBorder="1" applyAlignment="1">
      <alignment wrapText="1"/>
    </xf>
    <xf numFmtId="3" fontId="7" fillId="2" borderId="65" xfId="0" applyNumberFormat="1" applyFont="1" applyFill="1" applyBorder="1" applyAlignment="1">
      <alignment horizontal="center"/>
    </xf>
    <xf numFmtId="3" fontId="6" fillId="2" borderId="65" xfId="0" applyNumberFormat="1" applyFont="1" applyFill="1" applyBorder="1" applyAlignment="1">
      <alignment horizontal="center"/>
    </xf>
    <xf numFmtId="3" fontId="13" fillId="2" borderId="65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0" fontId="7" fillId="0" borderId="64" xfId="0" applyFont="1" applyBorder="1" applyAlignment="1">
      <alignment wrapText="1"/>
    </xf>
    <xf numFmtId="3" fontId="7" fillId="0" borderId="65" xfId="0" applyNumberFormat="1" applyFont="1" applyBorder="1" applyAlignment="1">
      <alignment horizontal="center"/>
    </xf>
    <xf numFmtId="3" fontId="6" fillId="0" borderId="65" xfId="0" applyNumberFormat="1" applyFont="1" applyBorder="1" applyAlignment="1">
      <alignment horizontal="center"/>
    </xf>
    <xf numFmtId="3" fontId="13" fillId="0" borderId="65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2" borderId="65" xfId="0" applyNumberFormat="1" applyFont="1" applyFill="1" applyBorder="1" applyAlignment="1">
      <alignment horizontal="left"/>
    </xf>
    <xf numFmtId="3" fontId="7" fillId="0" borderId="65" xfId="0" applyNumberFormat="1" applyFont="1" applyBorder="1" applyAlignment="1">
      <alignment horizontal="left"/>
    </xf>
    <xf numFmtId="3" fontId="4" fillId="0" borderId="0" xfId="0" applyNumberFormat="1" applyFont="1"/>
    <xf numFmtId="3" fontId="6" fillId="2" borderId="65" xfId="0" applyNumberFormat="1" applyFont="1" applyFill="1" applyBorder="1" applyAlignment="1">
      <alignment horizontal="left"/>
    </xf>
    <xf numFmtId="3" fontId="14" fillId="2" borderId="65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3" fontId="6" fillId="2" borderId="6" xfId="0" applyNumberFormat="1" applyFont="1" applyFill="1" applyBorder="1" applyAlignment="1">
      <alignment horizontal="center"/>
    </xf>
    <xf numFmtId="0" fontId="15" fillId="0" borderId="0" xfId="0" applyFont="1"/>
    <xf numFmtId="9" fontId="15" fillId="0" borderId="0" xfId="0" applyNumberFormat="1" applyFont="1" applyAlignment="1">
      <alignment horizontal="center"/>
    </xf>
    <xf numFmtId="0" fontId="16" fillId="0" borderId="1" xfId="3" applyFont="1"/>
    <xf numFmtId="0" fontId="2" fillId="0" borderId="1" xfId="3"/>
    <xf numFmtId="10" fontId="15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/>
    <xf numFmtId="165" fontId="18" fillId="0" borderId="0" xfId="1" applyNumberFormat="1" applyFont="1"/>
    <xf numFmtId="170" fontId="0" fillId="0" borderId="0" xfId="0" applyNumberFormat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4" xfId="4" applyFont="1" applyBorder="1" applyAlignment="1">
      <alignment horizontal="center"/>
    </xf>
    <xf numFmtId="0" fontId="7" fillId="0" borderId="0" xfId="4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0" borderId="0" xfId="4" applyFont="1" applyAlignment="1">
      <alignment horizontal="left"/>
    </xf>
    <xf numFmtId="0" fontId="7" fillId="6" borderId="0" xfId="0" applyFont="1" applyFill="1"/>
    <xf numFmtId="0" fontId="7" fillId="6" borderId="0" xfId="0" applyFont="1" applyFill="1" applyAlignment="1">
      <alignment wrapText="1"/>
    </xf>
    <xf numFmtId="0" fontId="7" fillId="6" borderId="4" xfId="4" applyFont="1" applyFill="1" applyBorder="1" applyAlignment="1">
      <alignment horizontal="center"/>
    </xf>
    <xf numFmtId="0" fontId="7" fillId="6" borderId="0" xfId="4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9" fontId="7" fillId="6" borderId="0" xfId="0" applyNumberFormat="1" applyFont="1" applyFill="1" applyAlignment="1">
      <alignment horizontal="center"/>
    </xf>
    <xf numFmtId="3" fontId="7" fillId="6" borderId="0" xfId="1" applyNumberFormat="1" applyFont="1" applyFill="1" applyAlignment="1">
      <alignment horizontal="center"/>
    </xf>
    <xf numFmtId="3" fontId="6" fillId="6" borderId="2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wrapText="1"/>
    </xf>
    <xf numFmtId="164" fontId="7" fillId="0" borderId="0" xfId="0" applyNumberFormat="1" applyFont="1"/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3" fontId="0" fillId="0" borderId="27" xfId="0" applyNumberFormat="1" applyBorder="1"/>
    <xf numFmtId="3" fontId="0" fillId="0" borderId="31" xfId="0" applyNumberFormat="1" applyBorder="1"/>
    <xf numFmtId="3" fontId="0" fillId="0" borderId="33" xfId="0" applyNumberFormat="1" applyBorder="1"/>
    <xf numFmtId="165" fontId="0" fillId="0" borderId="33" xfId="0" applyNumberFormat="1" applyBorder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right"/>
    </xf>
    <xf numFmtId="3" fontId="0" fillId="0" borderId="0" xfId="0" applyNumberFormat="1"/>
    <xf numFmtId="49" fontId="0" fillId="0" borderId="0" xfId="0" applyNumberFormat="1" applyAlignment="1">
      <alignment horizontal="center"/>
    </xf>
    <xf numFmtId="0" fontId="19" fillId="0" borderId="0" xfId="0" applyFont="1"/>
    <xf numFmtId="166" fontId="0" fillId="0" borderId="0" xfId="0" applyNumberFormat="1"/>
    <xf numFmtId="167" fontId="0" fillId="0" borderId="0" xfId="0" applyNumberFormat="1"/>
    <xf numFmtId="0" fontId="7" fillId="0" borderId="5" xfId="4" applyFont="1" applyBorder="1" applyAlignment="1">
      <alignment horizontal="center"/>
    </xf>
    <xf numFmtId="0" fontId="20" fillId="0" borderId="0" xfId="0" applyFont="1"/>
    <xf numFmtId="0" fontId="21" fillId="0" borderId="6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0" fillId="0" borderId="70" xfId="0" applyFont="1" applyBorder="1"/>
    <xf numFmtId="0" fontId="20" fillId="0" borderId="7" xfId="0" applyFont="1" applyBorder="1" applyAlignment="1">
      <alignment horizontal="center"/>
    </xf>
    <xf numFmtId="0" fontId="24" fillId="0" borderId="78" xfId="0" applyFont="1" applyBorder="1" applyAlignment="1">
      <alignment horizontal="center" vertical="center"/>
    </xf>
    <xf numFmtId="3" fontId="24" fillId="0" borderId="78" xfId="0" applyNumberFormat="1" applyFont="1" applyBorder="1" applyAlignment="1">
      <alignment horizontal="center" vertical="center"/>
    </xf>
    <xf numFmtId="0" fontId="26" fillId="6" borderId="78" xfId="0" applyFont="1" applyFill="1" applyBorder="1" applyAlignment="1">
      <alignment horizontal="center" vertical="center"/>
    </xf>
    <xf numFmtId="3" fontId="26" fillId="7" borderId="78" xfId="0" applyNumberFormat="1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3" fontId="24" fillId="8" borderId="78" xfId="0" applyNumberFormat="1" applyFont="1" applyFill="1" applyBorder="1" applyAlignment="1">
      <alignment horizontal="center" vertical="center"/>
    </xf>
    <xf numFmtId="0" fontId="20" fillId="8" borderId="67" xfId="0" applyFont="1" applyFill="1" applyBorder="1" applyAlignment="1">
      <alignment horizontal="center"/>
    </xf>
    <xf numFmtId="0" fontId="20" fillId="8" borderId="68" xfId="0" applyFont="1" applyFill="1" applyBorder="1" applyAlignment="1">
      <alignment horizontal="center"/>
    </xf>
    <xf numFmtId="0" fontId="20" fillId="8" borderId="69" xfId="0" applyFont="1" applyFill="1" applyBorder="1" applyAlignment="1">
      <alignment horizontal="center"/>
    </xf>
    <xf numFmtId="37" fontId="22" fillId="0" borderId="0" xfId="0" applyNumberFormat="1" applyFont="1"/>
    <xf numFmtId="3" fontId="22" fillId="0" borderId="0" xfId="0" applyNumberFormat="1" applyFont="1"/>
    <xf numFmtId="164" fontId="22" fillId="0" borderId="0" xfId="1" applyFont="1"/>
    <xf numFmtId="164" fontId="22" fillId="0" borderId="0" xfId="0" applyNumberFormat="1" applyFont="1"/>
    <xf numFmtId="3" fontId="7" fillId="0" borderId="0" xfId="0" applyNumberFormat="1" applyFont="1"/>
    <xf numFmtId="164" fontId="7" fillId="0" borderId="0" xfId="1" applyFont="1" applyFill="1"/>
    <xf numFmtId="0" fontId="22" fillId="0" borderId="0" xfId="0" applyFont="1" applyAlignment="1">
      <alignment horizontal="center"/>
    </xf>
    <xf numFmtId="37" fontId="24" fillId="0" borderId="6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8" fillId="0" borderId="0" xfId="0" applyFont="1"/>
    <xf numFmtId="39" fontId="24" fillId="0" borderId="0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7" fontId="22" fillId="0" borderId="0" xfId="0" applyNumberFormat="1" applyFont="1" applyAlignment="1">
      <alignment horizontal="center"/>
    </xf>
    <xf numFmtId="37" fontId="24" fillId="0" borderId="0" xfId="0" applyNumberFormat="1" applyFont="1" applyAlignment="1">
      <alignment horizontal="center" vertical="center"/>
    </xf>
    <xf numFmtId="37" fontId="22" fillId="0" borderId="7" xfId="0" applyNumberFormat="1" applyFont="1" applyBorder="1" applyAlignment="1">
      <alignment horizontal="center"/>
    </xf>
    <xf numFmtId="37" fontId="26" fillId="0" borderId="0" xfId="0" applyNumberFormat="1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37" fontId="28" fillId="0" borderId="0" xfId="0" applyNumberFormat="1" applyFont="1" applyAlignment="1">
      <alignment horizontal="center"/>
    </xf>
    <xf numFmtId="37" fontId="28" fillId="0" borderId="0" xfId="1" applyNumberFormat="1" applyFont="1" applyAlignment="1">
      <alignment horizontal="center"/>
    </xf>
    <xf numFmtId="3" fontId="17" fillId="0" borderId="78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7" fillId="0" borderId="0" xfId="1" applyNumberFormat="1" applyFont="1" applyFill="1"/>
    <xf numFmtId="0" fontId="4" fillId="0" borderId="47" xfId="0" applyFont="1" applyBorder="1" applyAlignment="1">
      <alignment horizontal="center"/>
    </xf>
    <xf numFmtId="165" fontId="0" fillId="0" borderId="47" xfId="0" applyNumberFormat="1" applyBorder="1"/>
    <xf numFmtId="3" fontId="0" fillId="0" borderId="58" xfId="0" applyNumberFormat="1" applyBorder="1"/>
    <xf numFmtId="165" fontId="0" fillId="4" borderId="18" xfId="0" applyNumberFormat="1" applyFill="1" applyBorder="1"/>
    <xf numFmtId="165" fontId="0" fillId="4" borderId="25" xfId="0" applyNumberFormat="1" applyFill="1" applyBorder="1"/>
    <xf numFmtId="165" fontId="0" fillId="4" borderId="26" xfId="0" applyNumberFormat="1" applyFill="1" applyBorder="1"/>
    <xf numFmtId="165" fontId="0" fillId="4" borderId="28" xfId="1" applyNumberFormat="1" applyFont="1" applyFill="1" applyBorder="1"/>
    <xf numFmtId="3" fontId="0" fillId="4" borderId="18" xfId="0" applyNumberFormat="1" applyFill="1" applyBorder="1"/>
    <xf numFmtId="3" fontId="0" fillId="4" borderId="25" xfId="0" applyNumberFormat="1" applyFill="1" applyBorder="1"/>
    <xf numFmtId="165" fontId="0" fillId="4" borderId="29" xfId="0" applyNumberFormat="1" applyFill="1" applyBorder="1"/>
    <xf numFmtId="165" fontId="0" fillId="4" borderId="28" xfId="0" applyNumberFormat="1" applyFill="1" applyBorder="1"/>
    <xf numFmtId="165" fontId="0" fillId="4" borderId="27" xfId="1" applyNumberFormat="1" applyFont="1" applyFill="1" applyBorder="1"/>
    <xf numFmtId="165" fontId="0" fillId="0" borderId="38" xfId="0" applyNumberFormat="1" applyBorder="1"/>
    <xf numFmtId="0" fontId="0" fillId="9" borderId="0" xfId="0" applyFill="1"/>
    <xf numFmtId="165" fontId="0" fillId="9" borderId="18" xfId="0" applyNumberFormat="1" applyFill="1" applyBorder="1"/>
    <xf numFmtId="165" fontId="0" fillId="9" borderId="25" xfId="0" applyNumberFormat="1" applyFill="1" applyBorder="1"/>
    <xf numFmtId="165" fontId="0" fillId="9" borderId="26" xfId="0" applyNumberFormat="1" applyFill="1" applyBorder="1"/>
    <xf numFmtId="165" fontId="0" fillId="9" borderId="27" xfId="0" applyNumberFormat="1" applyFill="1" applyBorder="1"/>
    <xf numFmtId="165" fontId="0" fillId="9" borderId="10" xfId="0" applyNumberFormat="1" applyFill="1" applyBorder="1"/>
    <xf numFmtId="3" fontId="0" fillId="9" borderId="18" xfId="0" applyNumberFormat="1" applyFill="1" applyBorder="1"/>
    <xf numFmtId="3" fontId="0" fillId="9" borderId="25" xfId="0" applyNumberFormat="1" applyFill="1" applyBorder="1"/>
    <xf numFmtId="165" fontId="0" fillId="9" borderId="29" xfId="0" applyNumberFormat="1" applyFill="1" applyBorder="1"/>
    <xf numFmtId="165" fontId="4" fillId="0" borderId="39" xfId="0" applyNumberFormat="1" applyFont="1" applyBorder="1"/>
    <xf numFmtId="3" fontId="4" fillId="4" borderId="27" xfId="0" applyNumberFormat="1" applyFont="1" applyFill="1" applyBorder="1"/>
    <xf numFmtId="3" fontId="4" fillId="4" borderId="47" xfId="0" applyNumberFormat="1" applyFont="1" applyFill="1" applyBorder="1"/>
    <xf numFmtId="3" fontId="0" fillId="4" borderId="55" xfId="0" applyNumberFormat="1" applyFill="1" applyBorder="1"/>
    <xf numFmtId="3" fontId="0" fillId="4" borderId="56" xfId="0" applyNumberFormat="1" applyFill="1" applyBorder="1"/>
    <xf numFmtId="165" fontId="0" fillId="4" borderId="20" xfId="0" applyNumberFormat="1" applyFill="1" applyBorder="1"/>
    <xf numFmtId="165" fontId="0" fillId="4" borderId="55" xfId="0" applyNumberFormat="1" applyFill="1" applyBorder="1"/>
    <xf numFmtId="165" fontId="0" fillId="4" borderId="56" xfId="0" applyNumberFormat="1" applyFill="1" applyBorder="1"/>
    <xf numFmtId="165" fontId="0" fillId="0" borderId="28" xfId="0" applyNumberFormat="1" applyBorder="1" applyAlignment="1">
      <alignment horizontal="right"/>
    </xf>
    <xf numFmtId="165" fontId="0" fillId="9" borderId="28" xfId="0" applyNumberFormat="1" applyFill="1" applyBorder="1"/>
    <xf numFmtId="165" fontId="0" fillId="0" borderId="10" xfId="0" applyNumberFormat="1" applyBorder="1"/>
    <xf numFmtId="0" fontId="4" fillId="0" borderId="0" xfId="0" applyFont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3" fillId="0" borderId="67" xfId="0" applyFont="1" applyBorder="1" applyAlignment="1">
      <alignment horizontal="center"/>
    </xf>
    <xf numFmtId="0" fontId="23" fillId="0" borderId="68" xfId="0" applyFont="1" applyBorder="1" applyAlignment="1">
      <alignment horizontal="center"/>
    </xf>
    <xf numFmtId="0" fontId="23" fillId="0" borderId="69" xfId="0" applyFont="1" applyBorder="1" applyAlignment="1">
      <alignment horizont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/>
    </xf>
    <xf numFmtId="39" fontId="24" fillId="0" borderId="15" xfId="1" applyNumberFormat="1" applyFont="1" applyFill="1" applyBorder="1" applyAlignment="1">
      <alignment horizontal="center" vertical="center"/>
    </xf>
    <xf numFmtId="39" fontId="24" fillId="0" borderId="16" xfId="1" applyNumberFormat="1" applyFont="1" applyFill="1" applyBorder="1" applyAlignment="1">
      <alignment horizontal="center" vertical="center"/>
    </xf>
    <xf numFmtId="39" fontId="24" fillId="0" borderId="17" xfId="1" applyNumberFormat="1" applyFont="1" applyFill="1" applyBorder="1" applyAlignment="1">
      <alignment horizontal="center" vertical="center"/>
    </xf>
    <xf numFmtId="39" fontId="24" fillId="0" borderId="74" xfId="1" applyNumberFormat="1" applyFont="1" applyFill="1" applyBorder="1" applyAlignment="1">
      <alignment horizontal="center" vertical="center"/>
    </xf>
    <xf numFmtId="39" fontId="24" fillId="0" borderId="66" xfId="1" applyNumberFormat="1" applyFont="1" applyFill="1" applyBorder="1" applyAlignment="1">
      <alignment horizontal="center" vertical="center"/>
    </xf>
    <xf numFmtId="39" fontId="24" fillId="0" borderId="75" xfId="1" applyNumberFormat="1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37" fontId="24" fillId="0" borderId="76" xfId="0" applyNumberFormat="1" applyFont="1" applyBorder="1" applyAlignment="1">
      <alignment horizontal="center" vertical="center"/>
    </xf>
    <xf numFmtId="37" fontId="24" fillId="0" borderId="77" xfId="0" applyNumberFormat="1" applyFont="1" applyBorder="1" applyAlignment="1">
      <alignment horizontal="center" vertical="center"/>
    </xf>
    <xf numFmtId="37" fontId="24" fillId="0" borderId="15" xfId="0" applyNumberFormat="1" applyFont="1" applyBorder="1" applyAlignment="1">
      <alignment horizontal="center" vertical="center"/>
    </xf>
    <xf numFmtId="37" fontId="24" fillId="0" borderId="17" xfId="0" applyNumberFormat="1" applyFont="1" applyBorder="1" applyAlignment="1">
      <alignment horizontal="center" vertical="center"/>
    </xf>
    <xf numFmtId="37" fontId="24" fillId="0" borderId="74" xfId="0" applyNumberFormat="1" applyFont="1" applyBorder="1" applyAlignment="1">
      <alignment horizontal="center" vertical="center"/>
    </xf>
    <xf numFmtId="37" fontId="24" fillId="0" borderId="75" xfId="0" applyNumberFormat="1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37" fontId="24" fillId="0" borderId="67" xfId="0" applyNumberFormat="1" applyFont="1" applyBorder="1" applyAlignment="1">
      <alignment horizontal="center" vertical="center"/>
    </xf>
    <xf numFmtId="37" fontId="24" fillId="0" borderId="68" xfId="0" applyNumberFormat="1" applyFont="1" applyBorder="1" applyAlignment="1">
      <alignment horizontal="center" vertical="center"/>
    </xf>
    <xf numFmtId="37" fontId="24" fillId="0" borderId="69" xfId="0" applyNumberFormat="1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6" borderId="79" xfId="0" applyFont="1" applyFill="1" applyBorder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3" fontId="26" fillId="7" borderId="79" xfId="0" applyNumberFormat="1" applyFont="1" applyFill="1" applyBorder="1" applyAlignment="1">
      <alignment horizontal="center" vertical="center"/>
    </xf>
    <xf numFmtId="37" fontId="26" fillId="6" borderId="67" xfId="0" applyNumberFormat="1" applyFont="1" applyFill="1" applyBorder="1" applyAlignment="1">
      <alignment horizontal="center" vertical="center"/>
    </xf>
    <xf numFmtId="37" fontId="26" fillId="6" borderId="68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7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165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0" xfId="0" applyAlignment="1">
      <alignment horizontal="center"/>
    </xf>
    <xf numFmtId="37" fontId="22" fillId="0" borderId="7" xfId="0" applyNumberFormat="1" applyFont="1" applyBorder="1" applyAlignment="1">
      <alignment horizontal="center" vertical="center"/>
    </xf>
    <xf numFmtId="37" fontId="22" fillId="0" borderId="7" xfId="0" applyNumberFormat="1" applyFont="1" applyBorder="1" applyAlignment="1">
      <alignment horizontal="center"/>
    </xf>
  </cellXfs>
  <cellStyles count="5">
    <cellStyle name="Comma" xfId="1" builtinId="3"/>
    <cellStyle name="Heading 1" xfId="3" builtinId="16"/>
    <cellStyle name="Normal" xfId="0" builtinId="0"/>
    <cellStyle name="Normal 2" xfId="4" xr:uid="{5E8274CE-39F5-43D8-A342-FFAF872C3DB7}"/>
    <cellStyle name="Percent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_(* #,##0.00_);_(* \(#,##0.00\);_(* &quot;-&quot;??_);_(@_)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3" formatCode="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4"/>
        <name val="Calibri"/>
        <family val="2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6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simple" dx="17" sel="0" val="0" widthMin="165"/>
</file>

<file path=xl/ctrlProps/ctrlProp2.xml><?xml version="1.0" encoding="utf-8"?>
<formControlPr xmlns="http://schemas.microsoft.com/office/spreadsheetml/2009/9/main" objectType="Label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226</xdr:row>
          <xdr:rowOff>25400</xdr:rowOff>
        </xdr:from>
        <xdr:to>
          <xdr:col>5</xdr:col>
          <xdr:colOff>558800</xdr:colOff>
          <xdr:row>227</xdr:row>
          <xdr:rowOff>0</xdr:rowOff>
        </xdr:to>
        <xdr:sp macro="" textlink="">
          <xdr:nvSpPr>
            <xdr:cNvPr id="1025" name=" 3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889000</xdr:colOff>
          <xdr:row>1</xdr:row>
          <xdr:rowOff>158750</xdr:rowOff>
        </xdr:from>
        <xdr:ext cx="336550" cy="165100"/>
        <xdr:sp macro="" textlink="">
          <xdr:nvSpPr>
            <xdr:cNvPr id="1026" name="Labe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PK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Label 5</a:t>
              </a:r>
            </a:p>
          </xdr:txBody>
        </xdr:sp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uraba-my.sharepoint.com/personal/syed_ali_muraba_ae/Documents/Umair.Syed/Umair%20khan/Muraba%20Veil%20-%20Unit%20Details/Units%20Typlogy%20update/2nd/WS%20Typology%20update%20impact%20-%20Pre%20Launch%20Update%20Muraba%20Veil%20Sale%20Details.xlsx" TargetMode="External"/><Relationship Id="rId2" Type="http://schemas.microsoft.com/office/2019/04/relationships/externalLinkLongPath" Target="https://muraba-my.sharepoint.com/personal/syed_ali_muraba_ae/Documents/Umair.Syed/Umair%20khan/Muraba%20Veil%20-%20Unit%20Details/Units%20Typlogy%20update/2nd/WS%20Typology%20update%20impact%20-%20Pre%20Launch%20Update%20Muraba%20Veil%20Sale%20Details.xlsx?38356F5C" TargetMode="External"/><Relationship Id="rId1" Type="http://schemas.openxmlformats.org/officeDocument/2006/relationships/externalLinkPath" Target="file:///\\38356F5C\WS%20Typology%20update%20impact%20-%20Pre%20Launch%20Update%20Muraba%20Veil%20Sale%20Detail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uraba-my.sharepoint.com/personal/syed_ali_muraba_ae/Documents/Umair.Syed/Umair%20khan/Muraba%20Veil%20-%20Unit%20Details/Updated%20sheet%20-%20Pre%20Launch%20Muraba%20Veil%20Sale%20Details%20-%20Working%20Sheet.xlsx" TargetMode="External"/><Relationship Id="rId1" Type="http://schemas.openxmlformats.org/officeDocument/2006/relationships/externalLinkPath" Target="https://muraba-my.sharepoint.com/personal/syed_ali_muraba_ae/Documents/Umair.Syed/Umair%20khan/Muraba%20Veil%20-%20Unit%20Details/Updated%20sheet%20-%20Pre%20Launch%20Muraba%20Veil%20Sale%20Details%20-%20Wor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uraba Veil Sale Summary"/>
      <sheetName val="Parking"/>
      <sheetName val="Muraba Unit Wise Details "/>
      <sheetName val="WP"/>
      <sheetName val="Sheet2"/>
      <sheetName val="Muraba Veil "/>
      <sheetName val="Maruis Bulk Deal"/>
      <sheetName val="Building "/>
      <sheetName val="Building - Usman"/>
      <sheetName val="Building - Eric"/>
      <sheetName val="Building wise- 2024 Price"/>
      <sheetName val="Building wise- 2025 Price"/>
      <sheetName val="MV Unit Wise Variance"/>
      <sheetName val="Building  (3)"/>
      <sheetName val="Sheet1 (2)"/>
      <sheetName val="Launches Residences"/>
      <sheetName val="Launches   XL   SX   DX"/>
      <sheetName val="5 BR  - PH"/>
      <sheetName val="Unit Process"/>
      <sheetName val="Units&gt;&gt;&gt;"/>
      <sheetName val="2BR"/>
      <sheetName val="3BR"/>
      <sheetName val="3BR Pool"/>
      <sheetName val="3BR XL"/>
      <sheetName val="3 BR DX"/>
      <sheetName val="4BR SX"/>
      <sheetName val="4BR DX"/>
      <sheetName val="5BR DX"/>
      <sheetName val="Check"/>
      <sheetName val="Sheet1"/>
    </sheetNames>
    <sheetDataSet>
      <sheetData sheetId="0">
        <row r="6">
          <cell r="A6" t="str">
            <v>2 Bedroom</v>
          </cell>
        </row>
        <row r="10">
          <cell r="F10">
            <v>4733.5372375039997</v>
          </cell>
          <cell r="G10">
            <v>3334.2288855040001</v>
          </cell>
        </row>
        <row r="11">
          <cell r="F11">
            <v>7474.8899381760011</v>
          </cell>
          <cell r="G11">
            <v>7857.6545919999999</v>
          </cell>
        </row>
        <row r="12">
          <cell r="F12">
            <v>7485.6538485760011</v>
          </cell>
          <cell r="G12">
            <v>7260.042286592</v>
          </cell>
        </row>
      </sheetData>
      <sheetData sheetId="1"/>
      <sheetData sheetId="2">
        <row r="4">
          <cell r="C4">
            <v>302</v>
          </cell>
          <cell r="D4" t="str">
            <v>3rd</v>
          </cell>
          <cell r="E4">
            <v>2</v>
          </cell>
          <cell r="F4">
            <v>2218.7648507519998</v>
          </cell>
          <cell r="G4">
            <v>1619.322680576</v>
          </cell>
          <cell r="H4">
            <v>3838.0875313279998</v>
          </cell>
          <cell r="I4">
            <v>0.3</v>
          </cell>
          <cell r="J4">
            <v>2704.5616549247998</v>
          </cell>
          <cell r="K4">
            <v>4700</v>
          </cell>
          <cell r="L4">
            <v>11764843.198922878</v>
          </cell>
        </row>
        <row r="5">
          <cell r="C5">
            <v>303</v>
          </cell>
          <cell r="D5" t="str">
            <v>3rd</v>
          </cell>
          <cell r="E5">
            <v>2</v>
          </cell>
          <cell r="F5">
            <v>2218.7648507519998</v>
          </cell>
          <cell r="G5">
            <v>1619.322680576</v>
          </cell>
          <cell r="H5">
            <v>3838.0875313279998</v>
          </cell>
          <cell r="I5">
            <v>0.3</v>
          </cell>
          <cell r="J5">
            <v>2704.5616549247998</v>
          </cell>
          <cell r="K5">
            <v>4700</v>
          </cell>
          <cell r="L5">
            <v>11764843.198922878</v>
          </cell>
        </row>
        <row r="6">
          <cell r="C6">
            <v>402</v>
          </cell>
          <cell r="D6" t="str">
            <v>4th</v>
          </cell>
          <cell r="E6">
            <v>2</v>
          </cell>
          <cell r="F6">
            <v>2218.7648507519998</v>
          </cell>
          <cell r="G6">
            <v>1619.322680576</v>
          </cell>
          <cell r="H6">
            <v>3838.0875313279998</v>
          </cell>
          <cell r="I6">
            <v>0.3</v>
          </cell>
          <cell r="J6">
            <v>2704.5616549247998</v>
          </cell>
          <cell r="K6">
            <v>4850</v>
          </cell>
          <cell r="L6">
            <v>11433534</v>
          </cell>
        </row>
        <row r="7">
          <cell r="C7">
            <v>403</v>
          </cell>
          <cell r="D7" t="str">
            <v>4th</v>
          </cell>
          <cell r="E7">
            <v>2</v>
          </cell>
          <cell r="F7">
            <v>2218.7648507519998</v>
          </cell>
          <cell r="G7">
            <v>1619.322680576</v>
          </cell>
          <cell r="H7">
            <v>3838.0875313279998</v>
          </cell>
          <cell r="I7">
            <v>0.3</v>
          </cell>
          <cell r="J7">
            <v>2704.5616549247998</v>
          </cell>
          <cell r="K7">
            <v>4850</v>
          </cell>
          <cell r="L7">
            <v>12035299</v>
          </cell>
        </row>
        <row r="8">
          <cell r="C8">
            <v>502</v>
          </cell>
          <cell r="D8" t="str">
            <v>5th</v>
          </cell>
          <cell r="E8">
            <v>2</v>
          </cell>
          <cell r="F8">
            <v>2218.7648507519998</v>
          </cell>
          <cell r="G8">
            <v>1619.322680576</v>
          </cell>
          <cell r="H8">
            <v>3838.0875313279998</v>
          </cell>
          <cell r="I8">
            <v>0.3</v>
          </cell>
          <cell r="J8">
            <v>2704.5616549247998</v>
          </cell>
          <cell r="K8">
            <v>5000</v>
          </cell>
          <cell r="L8">
            <v>12305756</v>
          </cell>
        </row>
        <row r="9">
          <cell r="C9">
            <v>503</v>
          </cell>
          <cell r="D9" t="str">
            <v>5th</v>
          </cell>
          <cell r="E9">
            <v>2</v>
          </cell>
          <cell r="F9">
            <v>2218.7648507519998</v>
          </cell>
          <cell r="G9">
            <v>1619.322680576</v>
          </cell>
          <cell r="H9">
            <v>3838.0875313279998</v>
          </cell>
          <cell r="I9">
            <v>0.3</v>
          </cell>
          <cell r="J9">
            <v>2704.5616549247998</v>
          </cell>
          <cell r="K9">
            <v>5000</v>
          </cell>
          <cell r="L9">
            <v>13522808.274623999</v>
          </cell>
        </row>
        <row r="10">
          <cell r="C10">
            <v>602</v>
          </cell>
          <cell r="D10" t="str">
            <v>6th</v>
          </cell>
          <cell r="E10">
            <v>2</v>
          </cell>
          <cell r="F10">
            <v>2218.7648507519998</v>
          </cell>
          <cell r="G10">
            <v>1619.322680576</v>
          </cell>
          <cell r="H10">
            <v>3838.0875313279998</v>
          </cell>
          <cell r="I10">
            <v>0.3</v>
          </cell>
          <cell r="J10">
            <v>2704.5616549247998</v>
          </cell>
          <cell r="K10">
            <v>5150</v>
          </cell>
          <cell r="L10">
            <v>13928492.522862719</v>
          </cell>
        </row>
        <row r="11">
          <cell r="C11">
            <v>603</v>
          </cell>
          <cell r="D11" t="str">
            <v>6th</v>
          </cell>
          <cell r="E11">
            <v>2</v>
          </cell>
          <cell r="F11">
            <v>2218.7648507519998</v>
          </cell>
          <cell r="G11">
            <v>1619.322680576</v>
          </cell>
          <cell r="H11">
            <v>3838.0875313279998</v>
          </cell>
          <cell r="I11">
            <v>0.3</v>
          </cell>
          <cell r="J11">
            <v>2704.5616549247998</v>
          </cell>
          <cell r="K11">
            <v>5150</v>
          </cell>
          <cell r="L11">
            <v>13658036.357370239</v>
          </cell>
        </row>
        <row r="12">
          <cell r="C12">
            <v>702</v>
          </cell>
          <cell r="D12" t="str">
            <v>7th</v>
          </cell>
          <cell r="E12">
            <v>2</v>
          </cell>
          <cell r="F12">
            <v>2218.7648507519998</v>
          </cell>
          <cell r="G12">
            <v>1619.322680576</v>
          </cell>
          <cell r="H12">
            <v>3838.0875313279998</v>
          </cell>
          <cell r="I12">
            <v>0.3</v>
          </cell>
          <cell r="J12">
            <v>2704.5616549247998</v>
          </cell>
          <cell r="K12">
            <v>5300</v>
          </cell>
          <cell r="L12">
            <v>12846667.860892799</v>
          </cell>
        </row>
        <row r="13">
          <cell r="C13">
            <v>703</v>
          </cell>
          <cell r="D13" t="str">
            <v>7th</v>
          </cell>
          <cell r="E13">
            <v>2</v>
          </cell>
          <cell r="F13">
            <v>2218.7648507519998</v>
          </cell>
          <cell r="G13">
            <v>1619.322680576</v>
          </cell>
          <cell r="H13">
            <v>3838.0875313279998</v>
          </cell>
          <cell r="I13">
            <v>0.3</v>
          </cell>
          <cell r="J13">
            <v>2704.5616549247998</v>
          </cell>
          <cell r="K13">
            <v>5300</v>
          </cell>
          <cell r="L13">
            <v>14334176.771101439</v>
          </cell>
        </row>
        <row r="14">
          <cell r="C14">
            <v>802</v>
          </cell>
          <cell r="D14" t="str">
            <v>8th</v>
          </cell>
          <cell r="E14">
            <v>2</v>
          </cell>
          <cell r="F14">
            <v>2218.7648507519998</v>
          </cell>
          <cell r="G14">
            <v>1619.322680576</v>
          </cell>
          <cell r="H14">
            <v>3838.0875313279998</v>
          </cell>
          <cell r="I14">
            <v>0.3</v>
          </cell>
          <cell r="J14">
            <v>2704.5616549247998</v>
          </cell>
          <cell r="K14">
            <v>5450</v>
          </cell>
          <cell r="L14">
            <v>12986147.103417825</v>
          </cell>
        </row>
        <row r="15">
          <cell r="C15">
            <v>803</v>
          </cell>
          <cell r="D15" t="str">
            <v>8th</v>
          </cell>
          <cell r="E15">
            <v>2</v>
          </cell>
          <cell r="F15">
            <v>2218.7648507519998</v>
          </cell>
          <cell r="G15">
            <v>1619.322680576</v>
          </cell>
          <cell r="H15">
            <v>3838.0875313279998</v>
          </cell>
          <cell r="I15">
            <v>0.3</v>
          </cell>
          <cell r="J15">
            <v>2704.5616549247998</v>
          </cell>
          <cell r="K15">
            <v>5450</v>
          </cell>
          <cell r="L15">
            <v>12986147.103417825</v>
          </cell>
        </row>
        <row r="16">
          <cell r="C16">
            <v>902</v>
          </cell>
          <cell r="D16" t="str">
            <v>9th</v>
          </cell>
          <cell r="E16">
            <v>2</v>
          </cell>
          <cell r="F16">
            <v>2218.7648507519998</v>
          </cell>
          <cell r="G16">
            <v>1619.322680576</v>
          </cell>
          <cell r="H16">
            <v>3838.0875313279998</v>
          </cell>
          <cell r="I16">
            <v>0.3</v>
          </cell>
          <cell r="J16">
            <v>2704.5616549247998</v>
          </cell>
          <cell r="K16">
            <v>5600</v>
          </cell>
          <cell r="L16">
            <v>15145545.267578879</v>
          </cell>
        </row>
        <row r="17">
          <cell r="C17">
            <v>903</v>
          </cell>
          <cell r="D17" t="str">
            <v>9th</v>
          </cell>
          <cell r="E17">
            <v>2</v>
          </cell>
          <cell r="F17">
            <v>2218.7648507519998</v>
          </cell>
          <cell r="G17">
            <v>1619.322680576</v>
          </cell>
          <cell r="H17">
            <v>3838.0875313279998</v>
          </cell>
          <cell r="I17">
            <v>0.3</v>
          </cell>
          <cell r="J17">
            <v>2704.5616549247998</v>
          </cell>
          <cell r="K17">
            <v>5600</v>
          </cell>
          <cell r="L17">
            <v>15145545.267578879</v>
          </cell>
        </row>
        <row r="18">
          <cell r="C18">
            <v>1102</v>
          </cell>
          <cell r="D18" t="str">
            <v>11th</v>
          </cell>
          <cell r="E18">
            <v>2</v>
          </cell>
          <cell r="F18">
            <v>2218.7648507519998</v>
          </cell>
          <cell r="G18">
            <v>1619.322680576</v>
          </cell>
          <cell r="H18">
            <v>3838.0875313279998</v>
          </cell>
          <cell r="I18">
            <v>0.3</v>
          </cell>
          <cell r="J18">
            <v>2704.5616549247998</v>
          </cell>
          <cell r="K18">
            <v>5750</v>
          </cell>
          <cell r="L18">
            <v>13658036.357370239</v>
          </cell>
        </row>
        <row r="19">
          <cell r="C19">
            <v>1103</v>
          </cell>
          <cell r="D19" t="str">
            <v>11th</v>
          </cell>
          <cell r="E19">
            <v>2</v>
          </cell>
          <cell r="F19">
            <v>2218.7648507519998</v>
          </cell>
          <cell r="G19">
            <v>1619.322680576</v>
          </cell>
          <cell r="H19">
            <v>3838.0875313279998</v>
          </cell>
          <cell r="I19">
            <v>0.3</v>
          </cell>
          <cell r="J19">
            <v>2704.5616549247998</v>
          </cell>
          <cell r="K19">
            <v>5750</v>
          </cell>
          <cell r="L19">
            <v>15551229.515817599</v>
          </cell>
        </row>
        <row r="20">
          <cell r="C20">
            <v>1202</v>
          </cell>
          <cell r="D20" t="str">
            <v>12th</v>
          </cell>
          <cell r="E20">
            <v>2</v>
          </cell>
          <cell r="F20">
            <v>2218.7648507519998</v>
          </cell>
          <cell r="G20">
            <v>1619.322680576</v>
          </cell>
          <cell r="H20">
            <v>3838.0875313279998</v>
          </cell>
          <cell r="I20">
            <v>0.3</v>
          </cell>
          <cell r="J20">
            <v>2704.5616549247998</v>
          </cell>
          <cell r="K20">
            <v>5900</v>
          </cell>
          <cell r="L20">
            <v>15956913.764056319</v>
          </cell>
        </row>
        <row r="21">
          <cell r="C21">
            <v>1203</v>
          </cell>
          <cell r="D21" t="str">
            <v>12th</v>
          </cell>
          <cell r="E21">
            <v>2</v>
          </cell>
          <cell r="F21">
            <v>2218.7648507519998</v>
          </cell>
          <cell r="G21">
            <v>1619.322680576</v>
          </cell>
          <cell r="H21">
            <v>3838.0875313279998</v>
          </cell>
          <cell r="I21">
            <v>0.3</v>
          </cell>
          <cell r="J21">
            <v>2704.5616549247998</v>
          </cell>
          <cell r="K21">
            <v>5900</v>
          </cell>
          <cell r="L21">
            <v>15956913.764056319</v>
          </cell>
        </row>
        <row r="22">
          <cell r="C22">
            <v>1302</v>
          </cell>
          <cell r="D22" t="str">
            <v>13th</v>
          </cell>
          <cell r="E22">
            <v>2</v>
          </cell>
          <cell r="F22">
            <v>2218.7648507519998</v>
          </cell>
          <cell r="G22">
            <v>1619.322680576</v>
          </cell>
          <cell r="H22">
            <v>3838.0875313279998</v>
          </cell>
          <cell r="I22">
            <v>0.3</v>
          </cell>
          <cell r="J22">
            <v>2704.5616549247998</v>
          </cell>
          <cell r="K22">
            <v>6050</v>
          </cell>
          <cell r="L22">
            <v>16362598.012295039</v>
          </cell>
        </row>
        <row r="23">
          <cell r="C23">
            <v>1303</v>
          </cell>
          <cell r="D23" t="str">
            <v>13th</v>
          </cell>
          <cell r="E23">
            <v>2</v>
          </cell>
          <cell r="F23">
            <v>2218.7648507519998</v>
          </cell>
          <cell r="G23">
            <v>1619.322680576</v>
          </cell>
          <cell r="H23">
            <v>3838.0875313279998</v>
          </cell>
          <cell r="I23">
            <v>0.3</v>
          </cell>
          <cell r="J23">
            <v>2704.5616549247998</v>
          </cell>
          <cell r="K23">
            <v>6050</v>
          </cell>
          <cell r="L23">
            <v>16362598.012295039</v>
          </cell>
        </row>
        <row r="24">
          <cell r="C24">
            <v>1402</v>
          </cell>
          <cell r="D24" t="str">
            <v>14th</v>
          </cell>
          <cell r="E24">
            <v>2</v>
          </cell>
          <cell r="F24">
            <v>2218.7648507519998</v>
          </cell>
          <cell r="G24">
            <v>1619.322680576</v>
          </cell>
          <cell r="H24">
            <v>3838.0875313279998</v>
          </cell>
          <cell r="I24">
            <v>0.3</v>
          </cell>
          <cell r="J24">
            <v>2704.5616549247998</v>
          </cell>
          <cell r="K24">
            <v>6200</v>
          </cell>
          <cell r="L24">
            <v>16768282.260533759</v>
          </cell>
        </row>
        <row r="25">
          <cell r="C25">
            <v>1403</v>
          </cell>
          <cell r="D25" t="str">
            <v>14th</v>
          </cell>
          <cell r="E25">
            <v>2</v>
          </cell>
          <cell r="F25">
            <v>2218.7648507519998</v>
          </cell>
          <cell r="G25">
            <v>1619.322680576</v>
          </cell>
          <cell r="H25">
            <v>3838.0875313279998</v>
          </cell>
          <cell r="I25">
            <v>0.3</v>
          </cell>
          <cell r="J25">
            <v>2704.5616549247998</v>
          </cell>
          <cell r="K25">
            <v>6200</v>
          </cell>
          <cell r="L25">
            <v>16768282.260533759</v>
          </cell>
        </row>
        <row r="26">
          <cell r="C26">
            <v>1502</v>
          </cell>
          <cell r="D26" t="str">
            <v>15th</v>
          </cell>
          <cell r="E26">
            <v>2</v>
          </cell>
          <cell r="F26">
            <v>2218.7648507519998</v>
          </cell>
          <cell r="G26">
            <v>1619.322680576</v>
          </cell>
          <cell r="H26">
            <v>3838.0875313279998</v>
          </cell>
          <cell r="I26">
            <v>0.3</v>
          </cell>
          <cell r="J26">
            <v>2704.5616549247998</v>
          </cell>
          <cell r="K26">
            <v>6350</v>
          </cell>
          <cell r="L26">
            <v>17173966.508772478</v>
          </cell>
        </row>
        <row r="27">
          <cell r="C27">
            <v>1503</v>
          </cell>
          <cell r="D27" t="str">
            <v>15th</v>
          </cell>
          <cell r="E27">
            <v>2</v>
          </cell>
          <cell r="F27">
            <v>2218.7648507519998</v>
          </cell>
          <cell r="G27">
            <v>1619.322680576</v>
          </cell>
          <cell r="H27">
            <v>3838.0875313279998</v>
          </cell>
          <cell r="I27">
            <v>0.3</v>
          </cell>
          <cell r="J27">
            <v>2704.5616549247998</v>
          </cell>
          <cell r="K27">
            <v>6350</v>
          </cell>
          <cell r="L27">
            <v>17173966.508772478</v>
          </cell>
        </row>
        <row r="28">
          <cell r="C28">
            <v>1602</v>
          </cell>
          <cell r="D28" t="str">
            <v>16th</v>
          </cell>
          <cell r="E28">
            <v>2</v>
          </cell>
          <cell r="F28">
            <v>2218.7648507519998</v>
          </cell>
          <cell r="G28">
            <v>1619.322680576</v>
          </cell>
          <cell r="H28">
            <v>3838.0875313279998</v>
          </cell>
          <cell r="I28">
            <v>0.3</v>
          </cell>
          <cell r="J28">
            <v>2704.5616549247998</v>
          </cell>
          <cell r="K28">
            <v>6500</v>
          </cell>
          <cell r="L28">
            <v>17579650.757011198</v>
          </cell>
        </row>
        <row r="29">
          <cell r="C29">
            <v>1603</v>
          </cell>
          <cell r="D29" t="str">
            <v>16th</v>
          </cell>
          <cell r="E29">
            <v>2</v>
          </cell>
          <cell r="F29">
            <v>2218.7648507519998</v>
          </cell>
          <cell r="G29">
            <v>1619.322680576</v>
          </cell>
          <cell r="H29">
            <v>3838.0875313279998</v>
          </cell>
          <cell r="I29">
            <v>0.3</v>
          </cell>
          <cell r="J29">
            <v>2704.5616549247998</v>
          </cell>
          <cell r="K29">
            <v>6500</v>
          </cell>
          <cell r="L29">
            <v>17579650.757011198</v>
          </cell>
        </row>
        <row r="30">
          <cell r="C30">
            <v>1702</v>
          </cell>
          <cell r="D30" t="str">
            <v>17th</v>
          </cell>
          <cell r="E30">
            <v>2</v>
          </cell>
          <cell r="F30">
            <v>2218.7648507519998</v>
          </cell>
          <cell r="G30">
            <v>1619.322680576</v>
          </cell>
          <cell r="H30">
            <v>3838.0875313279998</v>
          </cell>
          <cell r="I30">
            <v>0.3</v>
          </cell>
          <cell r="J30">
            <v>2704.5616549247998</v>
          </cell>
          <cell r="K30">
            <v>6650</v>
          </cell>
          <cell r="L30">
            <v>14986912</v>
          </cell>
        </row>
        <row r="31">
          <cell r="C31">
            <v>1703</v>
          </cell>
          <cell r="D31" t="str">
            <v>17th</v>
          </cell>
          <cell r="E31">
            <v>2</v>
          </cell>
          <cell r="F31">
            <v>2218.7648507519998</v>
          </cell>
          <cell r="G31">
            <v>1619.322680576</v>
          </cell>
          <cell r="H31">
            <v>3838.0875313279998</v>
          </cell>
          <cell r="I31">
            <v>0.3</v>
          </cell>
          <cell r="J31">
            <v>2704.5616549247998</v>
          </cell>
          <cell r="K31">
            <v>6650</v>
          </cell>
          <cell r="L31">
            <v>17985335.005249918</v>
          </cell>
        </row>
        <row r="32">
          <cell r="C32">
            <v>1802</v>
          </cell>
          <cell r="D32" t="str">
            <v>18th</v>
          </cell>
          <cell r="E32">
            <v>2</v>
          </cell>
          <cell r="F32">
            <v>2218.7648507519998</v>
          </cell>
          <cell r="G32">
            <v>1619.322680576</v>
          </cell>
          <cell r="H32">
            <v>3838.0875313279998</v>
          </cell>
          <cell r="I32">
            <v>0.3</v>
          </cell>
          <cell r="J32">
            <v>2704.5616549247998</v>
          </cell>
          <cell r="K32">
            <v>6800</v>
          </cell>
          <cell r="L32">
            <v>18391019.253488638</v>
          </cell>
        </row>
        <row r="33">
          <cell r="C33">
            <v>1803</v>
          </cell>
          <cell r="D33" t="str">
            <v>18th</v>
          </cell>
          <cell r="E33">
            <v>2</v>
          </cell>
          <cell r="F33">
            <v>2218.7648507519998</v>
          </cell>
          <cell r="G33">
            <v>1619.322680576</v>
          </cell>
          <cell r="H33">
            <v>3838.0875313279998</v>
          </cell>
          <cell r="I33">
            <v>0.3</v>
          </cell>
          <cell r="J33">
            <v>2704.5616549247998</v>
          </cell>
          <cell r="K33">
            <v>6800</v>
          </cell>
          <cell r="L33">
            <v>18391019.253488638</v>
          </cell>
        </row>
        <row r="34">
          <cell r="C34">
            <v>1902</v>
          </cell>
          <cell r="D34" t="str">
            <v>19th</v>
          </cell>
          <cell r="E34">
            <v>2</v>
          </cell>
          <cell r="F34">
            <v>2218.7648507519998</v>
          </cell>
          <cell r="G34">
            <v>1619.322680576</v>
          </cell>
          <cell r="H34">
            <v>3838.0875313279998</v>
          </cell>
          <cell r="I34">
            <v>0.3</v>
          </cell>
          <cell r="J34">
            <v>2704.5616549247998</v>
          </cell>
          <cell r="K34">
            <v>6950</v>
          </cell>
          <cell r="L34">
            <v>18796703.501727358</v>
          </cell>
        </row>
        <row r="35">
          <cell r="C35">
            <v>1903</v>
          </cell>
          <cell r="D35" t="str">
            <v>19th</v>
          </cell>
          <cell r="E35">
            <v>2</v>
          </cell>
          <cell r="F35">
            <v>2218.7648507519998</v>
          </cell>
          <cell r="G35">
            <v>1619.322680576</v>
          </cell>
          <cell r="H35">
            <v>3838.0875313279998</v>
          </cell>
          <cell r="I35">
            <v>0.3</v>
          </cell>
          <cell r="J35">
            <v>2704.5616549247998</v>
          </cell>
          <cell r="K35">
            <v>6950</v>
          </cell>
          <cell r="L35">
            <v>18796703.501727358</v>
          </cell>
        </row>
        <row r="36">
          <cell r="C36">
            <v>2002</v>
          </cell>
          <cell r="D36" t="str">
            <v>20th</v>
          </cell>
          <cell r="E36">
            <v>2</v>
          </cell>
          <cell r="F36">
            <v>2218.7648507519998</v>
          </cell>
          <cell r="G36">
            <v>1619.322680576</v>
          </cell>
          <cell r="H36">
            <v>3838.0875313279998</v>
          </cell>
          <cell r="I36">
            <v>0.3</v>
          </cell>
          <cell r="J36">
            <v>2704.5616549247998</v>
          </cell>
          <cell r="K36">
            <v>7100</v>
          </cell>
          <cell r="L36">
            <v>14500000</v>
          </cell>
        </row>
        <row r="37">
          <cell r="C37">
            <v>2003</v>
          </cell>
          <cell r="D37" t="str">
            <v>20th</v>
          </cell>
          <cell r="E37">
            <v>2</v>
          </cell>
          <cell r="F37">
            <v>2218.7648507519998</v>
          </cell>
          <cell r="G37">
            <v>1619.322680576</v>
          </cell>
          <cell r="H37">
            <v>3838.0875313279998</v>
          </cell>
          <cell r="I37">
            <v>0.3</v>
          </cell>
          <cell r="J37">
            <v>2704.5616549247998</v>
          </cell>
          <cell r="K37">
            <v>7100</v>
          </cell>
          <cell r="L37">
            <v>16092142</v>
          </cell>
        </row>
        <row r="38">
          <cell r="C38">
            <v>2102</v>
          </cell>
          <cell r="D38" t="str">
            <v>21st</v>
          </cell>
          <cell r="E38">
            <v>2</v>
          </cell>
          <cell r="F38">
            <v>2218.7648507519998</v>
          </cell>
          <cell r="G38">
            <v>1619.322680576</v>
          </cell>
          <cell r="H38">
            <v>3838.0875313279998</v>
          </cell>
          <cell r="I38">
            <v>0.3</v>
          </cell>
          <cell r="J38">
            <v>2704.5616549247998</v>
          </cell>
          <cell r="K38">
            <v>7250</v>
          </cell>
          <cell r="L38">
            <v>16633054</v>
          </cell>
        </row>
        <row r="39">
          <cell r="C39">
            <v>2103</v>
          </cell>
          <cell r="D39" t="str">
            <v>21st</v>
          </cell>
          <cell r="E39">
            <v>2</v>
          </cell>
          <cell r="F39">
            <v>2218.7648507519998</v>
          </cell>
          <cell r="G39">
            <v>1619.322680576</v>
          </cell>
          <cell r="H39">
            <v>3838.0875313279998</v>
          </cell>
          <cell r="I39">
            <v>0.3</v>
          </cell>
          <cell r="J39">
            <v>2704.5616549247998</v>
          </cell>
          <cell r="K39">
            <v>7250</v>
          </cell>
          <cell r="L39">
            <v>19608071.998204798</v>
          </cell>
        </row>
        <row r="40">
          <cell r="C40">
            <v>2202</v>
          </cell>
          <cell r="D40" t="str">
            <v>22nd</v>
          </cell>
          <cell r="E40">
            <v>2</v>
          </cell>
          <cell r="F40">
            <v>2218.7648507519998</v>
          </cell>
          <cell r="G40">
            <v>1619.322680576</v>
          </cell>
          <cell r="H40">
            <v>3838.0875313279998</v>
          </cell>
          <cell r="I40">
            <v>0.3</v>
          </cell>
          <cell r="J40">
            <v>2704.5616549247998</v>
          </cell>
          <cell r="K40">
            <v>7400</v>
          </cell>
          <cell r="L40">
            <v>20013756.246443518</v>
          </cell>
        </row>
        <row r="41">
          <cell r="C41">
            <v>2203</v>
          </cell>
          <cell r="D41" t="str">
            <v>22nd</v>
          </cell>
          <cell r="E41">
            <v>2</v>
          </cell>
          <cell r="F41">
            <v>2218.7648507519998</v>
          </cell>
          <cell r="G41">
            <v>1619.322680576</v>
          </cell>
          <cell r="H41">
            <v>3838.0875313279998</v>
          </cell>
          <cell r="I41">
            <v>0.3</v>
          </cell>
          <cell r="J41">
            <v>2704.5616549247998</v>
          </cell>
          <cell r="K41">
            <v>7400</v>
          </cell>
          <cell r="L41">
            <v>20013756.246443518</v>
          </cell>
        </row>
        <row r="42">
          <cell r="C42">
            <v>2302</v>
          </cell>
          <cell r="D42" t="str">
            <v>23rd</v>
          </cell>
          <cell r="E42">
            <v>2</v>
          </cell>
          <cell r="F42">
            <v>2218.7648507519998</v>
          </cell>
          <cell r="G42">
            <v>1619.322680576</v>
          </cell>
          <cell r="H42">
            <v>3838.0875313279998</v>
          </cell>
          <cell r="I42">
            <v>0.3</v>
          </cell>
          <cell r="J42">
            <v>2704.5616549247998</v>
          </cell>
          <cell r="K42">
            <v>7550</v>
          </cell>
          <cell r="L42">
            <v>20419440.494682238</v>
          </cell>
        </row>
        <row r="43">
          <cell r="C43">
            <v>2303</v>
          </cell>
          <cell r="D43" t="str">
            <v>23rd</v>
          </cell>
          <cell r="E43">
            <v>2</v>
          </cell>
          <cell r="F43">
            <v>2218.7648507519998</v>
          </cell>
          <cell r="G43">
            <v>1619.322680576</v>
          </cell>
          <cell r="H43">
            <v>3838.0875313279998</v>
          </cell>
          <cell r="I43">
            <v>0.3</v>
          </cell>
          <cell r="J43">
            <v>2704.5616549247998</v>
          </cell>
          <cell r="K43">
            <v>7550</v>
          </cell>
          <cell r="L43">
            <v>20419440.494682238</v>
          </cell>
        </row>
        <row r="44">
          <cell r="C44">
            <v>2402</v>
          </cell>
          <cell r="D44" t="str">
            <v>24th</v>
          </cell>
          <cell r="E44">
            <v>2</v>
          </cell>
          <cell r="F44">
            <v>2218.7648507519998</v>
          </cell>
          <cell r="G44">
            <v>1619.322680576</v>
          </cell>
          <cell r="H44">
            <v>3838.0875313279998</v>
          </cell>
          <cell r="I44">
            <v>0.3</v>
          </cell>
          <cell r="J44">
            <v>2704.5616549247998</v>
          </cell>
          <cell r="K44">
            <v>7700</v>
          </cell>
          <cell r="L44">
            <v>20825124.742920958</v>
          </cell>
        </row>
        <row r="45">
          <cell r="C45">
            <v>2403</v>
          </cell>
          <cell r="D45" t="str">
            <v>24th</v>
          </cell>
          <cell r="E45">
            <v>2</v>
          </cell>
          <cell r="F45">
            <v>2218.7648507519998</v>
          </cell>
          <cell r="G45">
            <v>1619.322680576</v>
          </cell>
          <cell r="H45">
            <v>3838.0875313279998</v>
          </cell>
          <cell r="I45">
            <v>0.3</v>
          </cell>
          <cell r="J45">
            <v>2704.5616549247998</v>
          </cell>
          <cell r="K45">
            <v>7700</v>
          </cell>
          <cell r="L45">
            <v>20825124.742920958</v>
          </cell>
        </row>
        <row r="46">
          <cell r="C46">
            <v>2502</v>
          </cell>
          <cell r="D46" t="str">
            <v>25th</v>
          </cell>
          <cell r="E46">
            <v>2</v>
          </cell>
          <cell r="F46">
            <v>2218.7648507519998</v>
          </cell>
          <cell r="G46">
            <v>1619.322680576</v>
          </cell>
          <cell r="H46">
            <v>3838.0875313279998</v>
          </cell>
          <cell r="I46">
            <v>0.3</v>
          </cell>
          <cell r="J46">
            <v>2704.5616549247998</v>
          </cell>
          <cell r="K46">
            <v>7850</v>
          </cell>
          <cell r="L46">
            <v>21230808.991159678</v>
          </cell>
        </row>
        <row r="47">
          <cell r="C47">
            <v>2503</v>
          </cell>
          <cell r="D47" t="str">
            <v>25th</v>
          </cell>
          <cell r="E47">
            <v>2</v>
          </cell>
          <cell r="F47">
            <v>2218.7648507519998</v>
          </cell>
          <cell r="G47">
            <v>1619.322680576</v>
          </cell>
          <cell r="H47">
            <v>3838.0875313279998</v>
          </cell>
          <cell r="I47">
            <v>0.3</v>
          </cell>
          <cell r="J47">
            <v>2704.5616549247998</v>
          </cell>
          <cell r="K47">
            <v>7850</v>
          </cell>
          <cell r="L47">
            <v>21230808.991159678</v>
          </cell>
        </row>
        <row r="48">
          <cell r="C48">
            <v>2602</v>
          </cell>
          <cell r="D48" t="str">
            <v>26th</v>
          </cell>
          <cell r="E48">
            <v>2</v>
          </cell>
          <cell r="F48">
            <v>2218.7648507519998</v>
          </cell>
          <cell r="G48">
            <v>1619.322680576</v>
          </cell>
          <cell r="H48">
            <v>3838.0875313279998</v>
          </cell>
          <cell r="I48">
            <v>0.3</v>
          </cell>
          <cell r="J48">
            <v>2704.5616549247998</v>
          </cell>
          <cell r="K48">
            <v>8000</v>
          </cell>
          <cell r="L48">
            <v>21636493.239398398</v>
          </cell>
        </row>
        <row r="49">
          <cell r="C49">
            <v>2603</v>
          </cell>
          <cell r="D49" t="str">
            <v>26th</v>
          </cell>
          <cell r="E49">
            <v>2</v>
          </cell>
          <cell r="F49">
            <v>2218.7648507519998</v>
          </cell>
          <cell r="G49">
            <v>1619.322680576</v>
          </cell>
          <cell r="H49">
            <v>3838.0875313279998</v>
          </cell>
          <cell r="I49">
            <v>0.3</v>
          </cell>
          <cell r="J49">
            <v>2704.5616549247998</v>
          </cell>
          <cell r="K49">
            <v>8000</v>
          </cell>
          <cell r="L49">
            <v>21636493.239398398</v>
          </cell>
        </row>
        <row r="50">
          <cell r="C50">
            <v>2702</v>
          </cell>
          <cell r="D50" t="str">
            <v>27th</v>
          </cell>
          <cell r="E50">
            <v>2</v>
          </cell>
          <cell r="F50">
            <v>2218.7648507519998</v>
          </cell>
          <cell r="G50">
            <v>1619.322680576</v>
          </cell>
          <cell r="H50">
            <v>3838.0875313279998</v>
          </cell>
          <cell r="I50">
            <v>0.3</v>
          </cell>
          <cell r="J50">
            <v>2704.5616549247998</v>
          </cell>
          <cell r="K50">
            <v>8150</v>
          </cell>
          <cell r="L50">
            <v>22042177.487637118</v>
          </cell>
        </row>
        <row r="51">
          <cell r="C51">
            <v>2703</v>
          </cell>
          <cell r="D51" t="str">
            <v>27th</v>
          </cell>
          <cell r="E51">
            <v>2</v>
          </cell>
          <cell r="F51">
            <v>2218.7648507519998</v>
          </cell>
          <cell r="G51">
            <v>1619.322680576</v>
          </cell>
          <cell r="H51">
            <v>3838.0875313279998</v>
          </cell>
          <cell r="I51">
            <v>0.3</v>
          </cell>
          <cell r="J51">
            <v>2704.5616549247998</v>
          </cell>
          <cell r="K51">
            <v>8150</v>
          </cell>
          <cell r="L51">
            <v>22042177.487637118</v>
          </cell>
        </row>
        <row r="52">
          <cell r="C52">
            <v>2802</v>
          </cell>
          <cell r="D52" t="str">
            <v>28th</v>
          </cell>
          <cell r="E52">
            <v>2</v>
          </cell>
          <cell r="F52">
            <v>2218.7648507519998</v>
          </cell>
          <cell r="G52">
            <v>1619.322680576</v>
          </cell>
          <cell r="H52">
            <v>3838.0875313279998</v>
          </cell>
          <cell r="I52">
            <v>0.3</v>
          </cell>
          <cell r="J52">
            <v>2704.5616549247998</v>
          </cell>
          <cell r="K52">
            <v>8300</v>
          </cell>
          <cell r="L52">
            <v>20554668.577428479</v>
          </cell>
        </row>
        <row r="53">
          <cell r="C53">
            <v>2803</v>
          </cell>
          <cell r="D53" t="str">
            <v>28th</v>
          </cell>
          <cell r="E53">
            <v>2</v>
          </cell>
          <cell r="F53">
            <v>2218.7648507519998</v>
          </cell>
          <cell r="G53">
            <v>1619.322680576</v>
          </cell>
          <cell r="H53">
            <v>3838.0875313279998</v>
          </cell>
          <cell r="I53">
            <v>0.3</v>
          </cell>
          <cell r="J53">
            <v>2704.5616549247998</v>
          </cell>
          <cell r="K53">
            <v>8300</v>
          </cell>
          <cell r="L53">
            <v>22447861.735875838</v>
          </cell>
        </row>
        <row r="54">
          <cell r="C54">
            <v>2902</v>
          </cell>
          <cell r="D54" t="str">
            <v>29th</v>
          </cell>
          <cell r="E54">
            <v>2</v>
          </cell>
          <cell r="F54">
            <v>2218.7648507519998</v>
          </cell>
          <cell r="G54">
            <v>1619.322680576</v>
          </cell>
          <cell r="H54">
            <v>3838.0875313279998</v>
          </cell>
          <cell r="I54">
            <v>0.3</v>
          </cell>
          <cell r="J54">
            <v>2704.5616549247998</v>
          </cell>
          <cell r="K54">
            <v>8450</v>
          </cell>
          <cell r="L54">
            <v>22853545.984114558</v>
          </cell>
        </row>
        <row r="55">
          <cell r="C55">
            <v>2903</v>
          </cell>
          <cell r="D55" t="str">
            <v>29th</v>
          </cell>
          <cell r="E55">
            <v>2</v>
          </cell>
          <cell r="F55">
            <v>2218.7648507519998</v>
          </cell>
          <cell r="G55">
            <v>1619.322680576</v>
          </cell>
          <cell r="H55">
            <v>3838.0875313279998</v>
          </cell>
          <cell r="I55">
            <v>0.3</v>
          </cell>
          <cell r="J55">
            <v>2704.5616549247998</v>
          </cell>
          <cell r="K55">
            <v>8450</v>
          </cell>
          <cell r="L55">
            <v>22853545.984114558</v>
          </cell>
        </row>
        <row r="56">
          <cell r="C56">
            <v>3002</v>
          </cell>
          <cell r="D56" t="str">
            <v>30th</v>
          </cell>
          <cell r="E56">
            <v>2</v>
          </cell>
          <cell r="F56">
            <v>2218.7648507519998</v>
          </cell>
          <cell r="G56">
            <v>1619.322680576</v>
          </cell>
          <cell r="H56">
            <v>3838.0875313279998</v>
          </cell>
          <cell r="I56">
            <v>0.3</v>
          </cell>
          <cell r="J56">
            <v>2704.5616549247998</v>
          </cell>
          <cell r="K56">
            <v>8600</v>
          </cell>
          <cell r="L56">
            <v>23259230.232353278</v>
          </cell>
        </row>
        <row r="57">
          <cell r="C57">
            <v>3003</v>
          </cell>
          <cell r="D57" t="str">
            <v>30th</v>
          </cell>
          <cell r="E57">
            <v>2</v>
          </cell>
          <cell r="F57">
            <v>2218.7648507519998</v>
          </cell>
          <cell r="G57">
            <v>1619.322680576</v>
          </cell>
          <cell r="H57">
            <v>3838.0875313279998</v>
          </cell>
          <cell r="I57">
            <v>0.3</v>
          </cell>
          <cell r="J57">
            <v>2704.5616549247998</v>
          </cell>
          <cell r="K57">
            <v>8600</v>
          </cell>
          <cell r="L57">
            <v>23259230.232353278</v>
          </cell>
        </row>
        <row r="58">
          <cell r="C58">
            <v>3102</v>
          </cell>
          <cell r="D58" t="str">
            <v>31st</v>
          </cell>
          <cell r="E58">
            <v>2</v>
          </cell>
          <cell r="F58">
            <v>2218.7648507519998</v>
          </cell>
          <cell r="G58">
            <v>1619.322680576</v>
          </cell>
          <cell r="H58">
            <v>3838.0875313279998</v>
          </cell>
          <cell r="I58">
            <v>0.3</v>
          </cell>
          <cell r="J58">
            <v>2704.5616549247998</v>
          </cell>
          <cell r="K58">
            <v>8750</v>
          </cell>
          <cell r="L58">
            <v>23664914.480591998</v>
          </cell>
        </row>
        <row r="59">
          <cell r="C59">
            <v>3103</v>
          </cell>
          <cell r="D59" t="str">
            <v>31st</v>
          </cell>
          <cell r="E59">
            <v>2</v>
          </cell>
          <cell r="F59">
            <v>2218.7648507519998</v>
          </cell>
          <cell r="G59">
            <v>1619.322680576</v>
          </cell>
          <cell r="H59">
            <v>3838.0875313279998</v>
          </cell>
          <cell r="I59">
            <v>0.3</v>
          </cell>
          <cell r="J59">
            <v>2704.5616549247998</v>
          </cell>
          <cell r="K59">
            <v>8750</v>
          </cell>
          <cell r="L59">
            <v>23664914.480591998</v>
          </cell>
        </row>
        <row r="60">
          <cell r="C60">
            <v>3202</v>
          </cell>
          <cell r="D60" t="str">
            <v>32nd</v>
          </cell>
          <cell r="E60">
            <v>2</v>
          </cell>
          <cell r="F60">
            <v>2218.7648507519998</v>
          </cell>
          <cell r="G60">
            <v>1619.322680576</v>
          </cell>
          <cell r="H60">
            <v>3838.0875313279998</v>
          </cell>
          <cell r="I60">
            <v>0.3</v>
          </cell>
          <cell r="J60">
            <v>2704.5616549247998</v>
          </cell>
          <cell r="K60">
            <v>8900</v>
          </cell>
          <cell r="L60">
            <v>24070598.728830718</v>
          </cell>
        </row>
        <row r="61">
          <cell r="C61">
            <v>3203</v>
          </cell>
          <cell r="D61" t="str">
            <v>32nd</v>
          </cell>
          <cell r="E61">
            <v>2</v>
          </cell>
          <cell r="F61">
            <v>2218.7648507519998</v>
          </cell>
          <cell r="G61">
            <v>1619.322680576</v>
          </cell>
          <cell r="H61">
            <v>3838.0875313279998</v>
          </cell>
          <cell r="I61">
            <v>0.3</v>
          </cell>
          <cell r="J61">
            <v>2704.5616549247998</v>
          </cell>
          <cell r="K61">
            <v>8900</v>
          </cell>
          <cell r="L61">
            <v>24070598.728830718</v>
          </cell>
        </row>
        <row r="62">
          <cell r="C62">
            <v>3302</v>
          </cell>
          <cell r="D62" t="str">
            <v>33rd</v>
          </cell>
          <cell r="E62">
            <v>2</v>
          </cell>
          <cell r="F62">
            <v>2218.7648507519998</v>
          </cell>
          <cell r="G62">
            <v>1619.322680576</v>
          </cell>
          <cell r="H62">
            <v>3838.0875313279998</v>
          </cell>
          <cell r="I62">
            <v>0.3</v>
          </cell>
          <cell r="J62">
            <v>2704.5616549247998</v>
          </cell>
          <cell r="K62">
            <v>9050</v>
          </cell>
          <cell r="L62">
            <v>24476282.977069438</v>
          </cell>
        </row>
        <row r="63">
          <cell r="C63">
            <v>3303</v>
          </cell>
          <cell r="D63" t="str">
            <v>33rd</v>
          </cell>
          <cell r="E63">
            <v>2</v>
          </cell>
          <cell r="F63">
            <v>2218.7648507519998</v>
          </cell>
          <cell r="G63">
            <v>1619.322680576</v>
          </cell>
          <cell r="H63">
            <v>3838.0875313279998</v>
          </cell>
          <cell r="I63">
            <v>0.3</v>
          </cell>
          <cell r="J63">
            <v>2704.5616549247998</v>
          </cell>
          <cell r="K63">
            <v>9050</v>
          </cell>
          <cell r="L63">
            <v>24476282.977069438</v>
          </cell>
        </row>
        <row r="64">
          <cell r="C64">
            <v>3402</v>
          </cell>
          <cell r="D64" t="str">
            <v>34th</v>
          </cell>
          <cell r="E64">
            <v>2</v>
          </cell>
          <cell r="F64">
            <v>2218.7648507519998</v>
          </cell>
          <cell r="G64">
            <v>1619.322680576</v>
          </cell>
          <cell r="H64">
            <v>3838.0875313279998</v>
          </cell>
          <cell r="I64">
            <v>0.3</v>
          </cell>
          <cell r="J64">
            <v>2704.5616549247998</v>
          </cell>
          <cell r="K64">
            <v>9200</v>
          </cell>
          <cell r="L64">
            <v>24881967.225308158</v>
          </cell>
        </row>
        <row r="65">
          <cell r="C65">
            <v>3403</v>
          </cell>
          <cell r="D65" t="str">
            <v>34th</v>
          </cell>
          <cell r="E65">
            <v>2</v>
          </cell>
          <cell r="F65">
            <v>2218.7648507519998</v>
          </cell>
          <cell r="G65">
            <v>1619.322680576</v>
          </cell>
          <cell r="H65">
            <v>3838.0875313279998</v>
          </cell>
          <cell r="I65">
            <v>0.3</v>
          </cell>
          <cell r="J65">
            <v>2704.5616549247998</v>
          </cell>
          <cell r="K65">
            <v>9200</v>
          </cell>
          <cell r="L65">
            <v>24881967.225308158</v>
          </cell>
        </row>
        <row r="66">
          <cell r="C66">
            <v>3502</v>
          </cell>
          <cell r="D66" t="str">
            <v>35th</v>
          </cell>
          <cell r="E66">
            <v>2</v>
          </cell>
          <cell r="F66">
            <v>2218.7648507519998</v>
          </cell>
          <cell r="G66">
            <v>1619.322680576</v>
          </cell>
          <cell r="H66">
            <v>3838.0875313279998</v>
          </cell>
          <cell r="I66">
            <v>0.3</v>
          </cell>
          <cell r="J66">
            <v>2704.5616549247998</v>
          </cell>
          <cell r="K66">
            <v>9350</v>
          </cell>
          <cell r="L66">
            <v>25287651.473546878</v>
          </cell>
        </row>
        <row r="67">
          <cell r="C67">
            <v>3503</v>
          </cell>
          <cell r="D67" t="str">
            <v>35th</v>
          </cell>
          <cell r="E67">
            <v>2</v>
          </cell>
          <cell r="F67">
            <v>2218.7648507519998</v>
          </cell>
          <cell r="G67">
            <v>1619.322680576</v>
          </cell>
          <cell r="H67">
            <v>3838.0875313279998</v>
          </cell>
          <cell r="I67">
            <v>0.3</v>
          </cell>
          <cell r="J67">
            <v>2704.5616549247998</v>
          </cell>
          <cell r="K67">
            <v>9350</v>
          </cell>
          <cell r="L67">
            <v>25287651.473546878</v>
          </cell>
        </row>
        <row r="101">
          <cell r="L101">
            <v>30380882.849999998</v>
          </cell>
        </row>
        <row r="102">
          <cell r="L102">
            <v>29280126</v>
          </cell>
        </row>
        <row r="103">
          <cell r="L103">
            <v>30744792.095546607</v>
          </cell>
        </row>
        <row r="104">
          <cell r="L104">
            <v>30433719</v>
          </cell>
        </row>
        <row r="105">
          <cell r="L105">
            <v>32563997.296624951</v>
          </cell>
        </row>
        <row r="106">
          <cell r="L106">
            <v>33004299.946624946</v>
          </cell>
        </row>
        <row r="107">
          <cell r="L107">
            <v>33022698.74999997</v>
          </cell>
        </row>
        <row r="108">
          <cell r="L108">
            <v>33463001.399999965</v>
          </cell>
        </row>
        <row r="109">
          <cell r="L109">
            <v>33903304.04999996</v>
          </cell>
        </row>
        <row r="110">
          <cell r="L110">
            <v>34765510.546624936</v>
          </cell>
        </row>
        <row r="111">
          <cell r="L111">
            <v>35205813.196624927</v>
          </cell>
        </row>
        <row r="112">
          <cell r="L112">
            <v>35646115.846624926</v>
          </cell>
        </row>
        <row r="113">
          <cell r="L113">
            <v>36086418.496624917</v>
          </cell>
        </row>
        <row r="114">
          <cell r="L114">
            <v>36526721.146624915</v>
          </cell>
        </row>
        <row r="115">
          <cell r="L115">
            <v>36967023.796624914</v>
          </cell>
        </row>
        <row r="116">
          <cell r="L116">
            <v>37407326.446624905</v>
          </cell>
        </row>
        <row r="117">
          <cell r="L117">
            <v>37847629.096624903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O10">
            <v>0.75</v>
          </cell>
        </row>
        <row r="11">
          <cell r="O11">
            <v>0.65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raba Veil Sale Summary"/>
      <sheetName val="Parking"/>
      <sheetName val="Muraba Unit Wise Details "/>
      <sheetName val="Sheet2"/>
      <sheetName val="Muraba Veil "/>
      <sheetName val="Maruis Bulk Deal"/>
      <sheetName val="Building "/>
      <sheetName val="MV Building view"/>
      <sheetName val="Building - Usman"/>
      <sheetName val="Building - Eric"/>
      <sheetName val="Building wise- 2024 Price"/>
      <sheetName val="Building wise- 2025 Price"/>
      <sheetName val="MV Unit Wise Variance"/>
      <sheetName val="Building  (3)"/>
      <sheetName val="Sheet1 (2)"/>
      <sheetName val="Launches Residences"/>
      <sheetName val="Launches   XL   SX   DX"/>
      <sheetName val="5 BR  - PH"/>
      <sheetName val="Unit Process"/>
      <sheetName val="Units&gt;&gt;&gt;"/>
      <sheetName val="2BR"/>
      <sheetName val="3BR"/>
      <sheetName val="3BR Pool"/>
      <sheetName val="3BR XL"/>
      <sheetName val="3 BR DX"/>
      <sheetName val="4BR SX"/>
      <sheetName val="4BR DX"/>
      <sheetName val="5BR DX"/>
      <sheetName val="Check"/>
      <sheetName val="Sheet1"/>
    </sheetNames>
    <sheetDataSet>
      <sheetData sheetId="0">
        <row r="11">
          <cell r="D11">
            <v>15332.544530176001</v>
          </cell>
        </row>
        <row r="13">
          <cell r="C13">
            <v>16194.636089448089</v>
          </cell>
        </row>
      </sheetData>
      <sheetData sheetId="1"/>
      <sheetData sheetId="2">
        <row r="54">
          <cell r="H54">
            <v>3838.0875313279998</v>
          </cell>
        </row>
        <row r="78">
          <cell r="H78">
            <v>4939.4508434560003</v>
          </cell>
        </row>
        <row r="134">
          <cell r="J134">
            <v>26666.73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0CE0CB-4D19-4D8B-A09A-57489E265FE2}" name="Table1" displayName="Table1" ref="A21:B29" totalsRowShown="0" headerRowDxfId="44" dataDxfId="43">
  <autoFilter ref="A21:B29" xr:uid="{776A8627-29E4-4477-82C2-1CED5E2D8F35}"/>
  <tableColumns count="2">
    <tableColumn id="1" xr3:uid="{905BEF80-2579-464C-9C0A-FDD8887AB297}" name="Type" dataDxfId="42"/>
    <tableColumn id="2" xr3:uid="{1164C795-7234-4DFD-8401-F03F6FF89736}" name="Amount in AED" dataDxfId="4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4DE7C5-422B-4898-8C97-171DFB2B3C1E}" name="Table15" displayName="Table15" ref="G18:H23" totalsRowShown="0" dataDxfId="40">
  <autoFilter ref="G18:H23" xr:uid="{77CBBACD-27F7-48F0-B9DB-0BBEDB8865E1}"/>
  <tableColumns count="2">
    <tableColumn id="1" xr3:uid="{A098FFDA-B566-4892-9F89-1FE7C235C252}" name="Sale Value" dataDxfId="39"/>
    <tableColumn id="2" xr3:uid="{FD4C459F-0F9A-467C-ADB4-5ED6095F4B08}" name="Commision Percentage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2DE46-0D13-48A5-8776-F2ED7876A54D}" name="Table2" displayName="Table2" ref="A3:R227" totalsRowCount="1" headerRowDxfId="37" dataDxfId="36" totalsRowDxfId="35" headerRowCellStyle="Comma">
  <autoFilter ref="A3:R226" xr:uid="{DCA2DE46-0D13-48A5-8776-F2ED7876A54D}"/>
  <tableColumns count="18">
    <tableColumn id="1" xr3:uid="{0999B628-902E-4031-8D41-123528725331}" name="Type" totalsRowLabel="Total" dataDxfId="34" totalsRowDxfId="33"/>
    <tableColumn id="12" xr3:uid="{CEC31140-4FC4-46B3-973F-344BE165714D}" name="Unit Status" totalsRowDxfId="32"/>
    <tableColumn id="2" xr3:uid="{B6BD1160-3B58-4372-B946-06C690172A45}" name="Unit " dataDxfId="31" totalsRowDxfId="30"/>
    <tableColumn id="10" xr3:uid="{8291DFD7-558B-4C05-BC47-6B2CF668B982}" name="Floor" dataDxfId="29" totalsRowDxfId="28" dataCellStyle="Normal 2"/>
    <tableColumn id="11" xr3:uid="{8288A3FE-2E38-4056-B92B-EDA9BCA904D2}" name="Parking count" dataDxfId="27" totalsRowDxfId="26" dataCellStyle="Normal 2">
      <calculatedColumnFormula>IF(Table2[[#This Row],[Unit ]]="","",_xlfn.XLOOKUP(Table2[[#This Row],[Type]],'Muraba Veil Sale Summary'!A:A,'Muraba Veil Sale Summary'!P:P))</calculatedColumnFormula>
    </tableColumn>
    <tableColumn id="3" xr3:uid="{C7B8228B-8B24-4393-8A0D-10F00079F40A}" name="Internal Area_x000a_(Sq.ft)" dataDxfId="25" totalsRowDxfId="24">
      <calculatedColumnFormula>VLOOKUP(Table2[[#This Row],[Type]],'[1]Muraba Veil Sale Summary'!$A$6:$G$13,6,FALSE)</calculatedColumnFormula>
    </tableColumn>
    <tableColumn id="4" xr3:uid="{5EC6870D-8267-4C42-BA63-011E62F972FB}" name="External Area_x000a_(Sq.ft)" dataDxfId="23" totalsRowDxfId="22">
      <calculatedColumnFormula>VLOOKUP(Table2[[#This Row],[Type]],'[1]Muraba Veil Sale Summary'!$A$6:$G$13,7,FALSE)</calculatedColumnFormula>
    </tableColumn>
    <tableColumn id="5" xr3:uid="{96AC4697-B6E5-4D65-ACE6-028DDC5D5F91}" name="Total Area_x000a_(Sq.ft)" totalsRowFunction="sum" dataDxfId="21" totalsRowDxfId="20">
      <calculatedColumnFormula>IFERROR(F4+G4,0)</calculatedColumnFormula>
    </tableColumn>
    <tableColumn id="9" xr3:uid="{0BE19164-6E24-4F7C-9F17-69F5267457A1}" name="Terrace Area" dataDxfId="19" totalsRowDxfId="18"/>
    <tableColumn id="6" xr3:uid="{E59749CB-AF38-4DBA-84EC-DEA9F9B83C33}" name="Sellable Area_x000a_(Sq. ft)" dataDxfId="17" totalsRowDxfId="16">
      <calculatedColumnFormula>F4+(G4*Table2[[#This Row],[Terrace Area]])</calculatedColumnFormula>
    </tableColumn>
    <tableColumn id="7" xr3:uid="{B20436F9-A21D-4F35-BF6A-4B20506201A2}" name="Price/Sq.ft" dataDxfId="15" totalsRowDxfId="14" dataCellStyle="Comma"/>
    <tableColumn id="8" xr3:uid="{1C5A96F1-EAF8-43C5-A253-43531F473D90}" name="Price" totalsRowFunction="sum" dataDxfId="13" totalsRowDxfId="12" dataCellStyle="Comma">
      <calculatedColumnFormula>J4*K4</calculatedColumnFormula>
    </tableColumn>
    <tableColumn id="13" xr3:uid="{68536556-E976-458F-9DB4-448216E8D99D}" name="Column1" dataDxfId="11" totalsRowDxfId="10">
      <calculatedColumnFormula>Table2[[#This Row],[Price/Sq.ft]]</calculatedColumnFormula>
    </tableColumn>
    <tableColumn id="14" xr3:uid="{76177E40-8A69-4AB5-A24F-08F24D39AF43}" name="Column2" dataDxfId="9" totalsRowDxfId="8">
      <calculatedColumnFormula>VLOOKUP(Table2[[#This Row],[Unit ]],'[1]Muraba Unit Wise Details '!$C$4:$L$67,10,FALSE)</calculatedColumnFormula>
    </tableColumn>
    <tableColumn id="15" xr3:uid="{E0A8B345-575A-47AB-99C5-413B368033C3}" name="Column3" dataDxfId="7" totalsRowDxfId="6">
      <calculatedColumnFormula>Table2[[#This Row],[Column2]]-Table2[[#This Row],[Price]]</calculatedColumnFormula>
    </tableColumn>
    <tableColumn id="16" xr3:uid="{CE12C1D1-FBE4-4C00-9C21-414B349F059C}" name="Column4" dataDxfId="5" totalsRowDxfId="4">
      <calculatedColumnFormula>Table2[[#This Row],[Price]]/Table2[[#This Row],[Total Area
(Sq.ft)]]</calculatedColumnFormula>
    </tableColumn>
    <tableColumn id="17" xr3:uid="{C6C9D6EF-53B5-4358-840B-1CFAD31D1810}" name="Column5" dataDxfId="3" totalsRowDxfId="2">
      <calculatedColumnFormula>Table2[[#This Row],[Price]]/Table2[[#This Row],[Sellable Area
(Sq. ft)]]</calculatedColumnFormula>
    </tableColumn>
    <tableColumn id="18" xr3:uid="{8DF24F77-823B-45CC-B4B4-0CC8EB80BE26}" name="Column6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7DA4-3CCB-4388-8071-AF76337ACACC}">
  <sheetPr>
    <tabColor theme="8" tint="-0.499984740745262"/>
  </sheetPr>
  <dimension ref="A1:AP29"/>
  <sheetViews>
    <sheetView showGridLines="0" topLeftCell="A2" zoomScale="121" zoomScaleNormal="77" workbookViewId="0">
      <selection activeCell="B6" sqref="B6"/>
    </sheetView>
  </sheetViews>
  <sheetFormatPr defaultColWidth="8.81640625" defaultRowHeight="14.5" outlineLevelRow="1" x14ac:dyDescent="0.35"/>
  <cols>
    <col min="1" max="1" width="21" bestFit="1" customWidth="1"/>
    <col min="2" max="2" width="22.1796875" bestFit="1" customWidth="1"/>
    <col min="3" max="3" width="17.1796875" bestFit="1" customWidth="1"/>
    <col min="4" max="4" width="13.6328125" bestFit="1" customWidth="1"/>
    <col min="5" max="5" width="15.54296875" bestFit="1" customWidth="1"/>
    <col min="6" max="6" width="19" customWidth="1"/>
    <col min="7" max="7" width="18.6328125" customWidth="1"/>
    <col min="8" max="8" width="21.08984375" customWidth="1"/>
    <col min="9" max="9" width="19" customWidth="1"/>
    <col min="10" max="10" width="14.08984375" customWidth="1"/>
    <col min="11" max="11" width="17.81640625" customWidth="1"/>
    <col min="12" max="12" width="22.1796875" customWidth="1"/>
    <col min="13" max="13" width="15.54296875" customWidth="1"/>
    <col min="14" max="14" width="15.1796875" bestFit="1" customWidth="1"/>
    <col min="15" max="15" width="10.81640625" bestFit="1" customWidth="1"/>
    <col min="16" max="16" width="9.6328125" bestFit="1" customWidth="1"/>
    <col min="17" max="17" width="15.453125" bestFit="1" customWidth="1"/>
    <col min="18" max="18" width="12" bestFit="1" customWidth="1"/>
    <col min="19" max="19" width="14.6328125" bestFit="1" customWidth="1"/>
    <col min="20" max="21" width="11.6328125" customWidth="1"/>
    <col min="23" max="23" width="9.6328125" bestFit="1" customWidth="1"/>
    <col min="25" max="25" width="14.08984375" bestFit="1" customWidth="1"/>
    <col min="27" max="27" width="10.1796875" bestFit="1" customWidth="1"/>
    <col min="35" max="36" width="12.1796875" customWidth="1"/>
    <col min="37" max="37" width="4.1796875" bestFit="1" customWidth="1"/>
    <col min="38" max="38" width="4.54296875" bestFit="1" customWidth="1"/>
    <col min="39" max="39" width="9.08984375" bestFit="1" customWidth="1"/>
    <col min="40" max="40" width="8.54296875" bestFit="1" customWidth="1"/>
    <col min="41" max="41" width="4.1796875" bestFit="1" customWidth="1"/>
    <col min="42" max="42" width="5.54296875" bestFit="1" customWidth="1"/>
    <col min="43" max="43" width="4.1796875" bestFit="1" customWidth="1"/>
  </cols>
  <sheetData>
    <row r="1" spans="1:42" ht="19.5" x14ac:dyDescent="0.45">
      <c r="A1" s="1" t="s">
        <v>99</v>
      </c>
    </row>
    <row r="2" spans="1:42" ht="19.5" x14ac:dyDescent="0.45">
      <c r="A2" s="1"/>
    </row>
    <row r="3" spans="1:42" s="118" customFormat="1" x14ac:dyDescent="0.35">
      <c r="A3" s="118" t="s">
        <v>100</v>
      </c>
    </row>
    <row r="4" spans="1:42" ht="15.5" x14ac:dyDescent="0.35">
      <c r="A4" s="119"/>
      <c r="B4" s="119"/>
      <c r="C4" s="119"/>
      <c r="D4" s="119"/>
      <c r="E4" s="119"/>
      <c r="F4" s="120"/>
      <c r="G4" s="121"/>
      <c r="I4" s="119"/>
      <c r="K4" s="120"/>
      <c r="L4" s="122"/>
      <c r="M4" s="122"/>
      <c r="R4" s="12"/>
      <c r="S4" s="12"/>
      <c r="T4" s="12"/>
      <c r="U4" s="12"/>
      <c r="V4" s="12"/>
      <c r="W4" s="12"/>
      <c r="Y4" s="12"/>
      <c r="AK4" s="62" t="s">
        <v>101</v>
      </c>
      <c r="AL4" s="62" t="s">
        <v>102</v>
      </c>
      <c r="AM4" s="62" t="s">
        <v>103</v>
      </c>
      <c r="AN4" s="62" t="s">
        <v>104</v>
      </c>
      <c r="AO4" s="62" t="s">
        <v>105</v>
      </c>
      <c r="AP4" s="68" t="s">
        <v>105</v>
      </c>
    </row>
    <row r="5" spans="1:42" outlineLevel="1" x14ac:dyDescent="0.35">
      <c r="A5" s="123" t="s">
        <v>106</v>
      </c>
      <c r="B5" s="124" t="s">
        <v>107</v>
      </c>
      <c r="C5" s="124" t="s">
        <v>11</v>
      </c>
      <c r="D5" s="124" t="s">
        <v>108</v>
      </c>
      <c r="E5" s="124" t="s">
        <v>109</v>
      </c>
      <c r="F5" s="124" t="s">
        <v>110</v>
      </c>
      <c r="G5" s="124" t="s">
        <v>111</v>
      </c>
      <c r="H5" s="124" t="s">
        <v>112</v>
      </c>
      <c r="I5" s="124" t="s">
        <v>113</v>
      </c>
      <c r="J5" s="124" t="s">
        <v>114</v>
      </c>
      <c r="K5" s="125" t="s">
        <v>115</v>
      </c>
      <c r="L5" s="125" t="s">
        <v>116</v>
      </c>
      <c r="M5" s="124" t="s">
        <v>117</v>
      </c>
      <c r="N5" s="126" t="s">
        <v>118</v>
      </c>
      <c r="P5" s="127" t="s">
        <v>119</v>
      </c>
      <c r="Q5" s="127" t="s">
        <v>120</v>
      </c>
      <c r="R5" s="12"/>
      <c r="S5" s="12"/>
      <c r="T5" s="12"/>
      <c r="U5" s="12"/>
      <c r="V5" s="12"/>
      <c r="W5" s="12"/>
      <c r="Y5" s="12"/>
      <c r="AA5" s="128">
        <v>10.615884136923983</v>
      </c>
      <c r="AB5" t="s">
        <v>121</v>
      </c>
      <c r="AP5" s="12"/>
    </row>
    <row r="6" spans="1:42" outlineLevel="1" x14ac:dyDescent="0.35">
      <c r="A6" s="129" t="s">
        <v>18</v>
      </c>
      <c r="B6" s="130">
        <v>54</v>
      </c>
      <c r="C6" s="131">
        <f>AVERAGEIF(Table2[[#Data],[#Totals],[Type]],'Muraba Veil Sale Summary'!A6,Table2[[#Data],[#Totals],[Price]])/AVERAGEIF(Table2[[#Data],[#Totals],[Type]],'Muraba Veil Sale Summary'!A6,Table2[[#Data],[#Totals],[Total Area
(Sq.ft)]])</f>
        <v>5918.047119348621</v>
      </c>
      <c r="D6" s="130">
        <f>F6+G6</f>
        <v>3838.0875313279998</v>
      </c>
      <c r="E6" s="130">
        <f t="shared" ref="E6:E14" si="0">D6/10.7639104</f>
        <v>356.57</v>
      </c>
      <c r="F6" s="130">
        <v>2218.7648507519998</v>
      </c>
      <c r="G6" s="130">
        <v>1619.322680576</v>
      </c>
      <c r="H6" s="130">
        <f>F6*B6</f>
        <v>119813.30194060798</v>
      </c>
      <c r="I6" s="130">
        <f>G6*B6</f>
        <v>87443.424751104001</v>
      </c>
      <c r="J6" s="130">
        <f>H6+I6</f>
        <v>207256.72669171199</v>
      </c>
      <c r="K6" s="132">
        <f>I6*$K$4</f>
        <v>0</v>
      </c>
      <c r="L6" s="132">
        <f t="shared" ref="L6:L14" si="1">K6+H6</f>
        <v>119813.30194060798</v>
      </c>
      <c r="M6" s="130">
        <f>C6*D6</f>
        <v>22713982.858583529</v>
      </c>
      <c r="N6" s="133">
        <f>M6*B6</f>
        <v>1226555074.3635106</v>
      </c>
      <c r="P6" s="134">
        <v>2</v>
      </c>
      <c r="Q6" s="134">
        <f>P6*'Muraba Veil Sale Summary'!$B6</f>
        <v>108</v>
      </c>
      <c r="R6" s="12"/>
      <c r="S6" s="12">
        <f>Q6-R6</f>
        <v>108</v>
      </c>
      <c r="T6" s="12"/>
      <c r="U6" s="12">
        <f>'Muraba Veil Sale Summary'!$M6/'Muraba Veil Sale Summary'!$D6</f>
        <v>5918.047119348621</v>
      </c>
      <c r="V6" s="12"/>
      <c r="W6" s="12"/>
      <c r="Y6" s="2">
        <v>4023.69</v>
      </c>
      <c r="AA6">
        <f>Y6/$AA$5</f>
        <v>379.02542530629847</v>
      </c>
      <c r="AP6" s="12"/>
    </row>
    <row r="7" spans="1:42" outlineLevel="1" x14ac:dyDescent="0.35">
      <c r="A7" s="129" t="s">
        <v>307</v>
      </c>
      <c r="B7" s="130">
        <f>104-54</f>
        <v>50</v>
      </c>
      <c r="C7" s="131">
        <f>C6</f>
        <v>5918.047119348621</v>
      </c>
      <c r="D7" s="130">
        <f>F7+G7</f>
        <v>3838.0875313279998</v>
      </c>
      <c r="E7" s="130">
        <f t="shared" ref="E7" si="2">D7/10.7639104</f>
        <v>356.57</v>
      </c>
      <c r="F7" s="130">
        <v>2218.7648507519998</v>
      </c>
      <c r="G7" s="130">
        <v>1619.322680576</v>
      </c>
      <c r="H7" s="130">
        <f>F7*B7</f>
        <v>110938.24253759999</v>
      </c>
      <c r="I7" s="130">
        <f>G7*B7</f>
        <v>80966.134028800006</v>
      </c>
      <c r="J7" s="130">
        <f>H7+I7</f>
        <v>191904.37656639999</v>
      </c>
      <c r="K7" s="132">
        <f>I7*$K$4</f>
        <v>0</v>
      </c>
      <c r="L7" s="132">
        <f t="shared" ref="L7" si="3">K7+H7</f>
        <v>110938.24253759999</v>
      </c>
      <c r="M7" s="130">
        <f>C7*D7</f>
        <v>22713982.858583529</v>
      </c>
      <c r="N7" s="133">
        <f>M7*B7</f>
        <v>1135699142.9291763</v>
      </c>
      <c r="P7" s="134"/>
      <c r="Q7" s="134"/>
      <c r="R7" s="12"/>
      <c r="S7" s="12"/>
      <c r="T7" s="12"/>
      <c r="U7" s="12"/>
      <c r="V7" s="12"/>
      <c r="W7" s="12"/>
      <c r="Y7" s="2"/>
      <c r="AP7" s="12"/>
    </row>
    <row r="8" spans="1:42" outlineLevel="1" x14ac:dyDescent="0.35">
      <c r="A8" s="135" t="s">
        <v>25</v>
      </c>
      <c r="B8" s="136">
        <f>COUNTIF(Table2[Type],'Muraba Veil Sale Summary'!A8)</f>
        <v>52</v>
      </c>
      <c r="C8" s="137">
        <f>AVERAGEIF(Table2[[#All],[Type]],'Muraba Veil Sale Summary'!A8,Table2[[#All],[Price]])/AVERAGEIF(Table2[[#All],[Type]],'Muraba Veil Sale Summary'!A8,Table2[[#All],[Total Area
(Sq.ft)]])</f>
        <v>5299.8591144418997</v>
      </c>
      <c r="D8" s="136">
        <f t="shared" ref="D8:D14" si="4">F8+G8</f>
        <v>4939.4508434560003</v>
      </c>
      <c r="E8" s="136">
        <f t="shared" si="0"/>
        <v>458.89</v>
      </c>
      <c r="F8" s="136">
        <v>2880.5300621440001</v>
      </c>
      <c r="G8" s="136">
        <v>2058.9207813120001</v>
      </c>
      <c r="H8" s="136">
        <f>F8*B8</f>
        <v>149787.56323148799</v>
      </c>
      <c r="I8" s="136">
        <f t="shared" ref="I8:I14" si="5">G8*B8</f>
        <v>107063.88062822401</v>
      </c>
      <c r="J8" s="136">
        <f t="shared" ref="J8:J14" si="6">H8+I8</f>
        <v>256851.44385971199</v>
      </c>
      <c r="K8" s="138">
        <f t="shared" ref="K8:K14" si="7">I8*$K$4</f>
        <v>0</v>
      </c>
      <c r="L8" s="138">
        <f t="shared" si="1"/>
        <v>149787.56323148799</v>
      </c>
      <c r="M8" s="136">
        <f t="shared" ref="M8:M14" si="8">C8*D8</f>
        <v>26178393.573028013</v>
      </c>
      <c r="N8" s="139">
        <f t="shared" ref="N8:N14" si="9">M8*B8</f>
        <v>1361276465.7974567</v>
      </c>
      <c r="P8" s="140">
        <v>2</v>
      </c>
      <c r="Q8" s="140">
        <f>P8*'Muraba Veil Sale Summary'!$B8</f>
        <v>104</v>
      </c>
      <c r="R8" s="12"/>
      <c r="S8" s="12">
        <f t="shared" ref="S8:S13" si="10">Q8-R8</f>
        <v>104</v>
      </c>
      <c r="T8" s="12"/>
      <c r="U8" s="12">
        <f>'Muraba Veil Sale Summary'!$M8/'Muraba Veil Sale Summary'!$D8</f>
        <v>5299.8591144418997</v>
      </c>
      <c r="V8" s="12"/>
      <c r="W8" s="12"/>
      <c r="Y8" s="2">
        <v>5124.5200000000004</v>
      </c>
      <c r="AA8">
        <f t="shared" ref="AA8:AA13" si="11">Y8/$AA$5</f>
        <v>482.72192253643618</v>
      </c>
    </row>
    <row r="9" spans="1:42" outlineLevel="1" x14ac:dyDescent="0.35">
      <c r="A9" s="141" t="s">
        <v>27</v>
      </c>
      <c r="B9" s="130">
        <f>COUNTIF(Table2[Type],'Muraba Veil Sale Summary'!A9)</f>
        <v>7</v>
      </c>
      <c r="C9" s="131">
        <f>AVERAGEIF(Table2[[#All],[Type]],'Muraba Veil Sale Summary'!A9,Table2[[#All],[Price]])/AVERAGEIF(Table2[[#All],[Type]],'Muraba Veil Sale Summary'!A9,Table2[[#All],[Total Area
(Sq.ft)]])</f>
        <v>6416.9792004820429</v>
      </c>
      <c r="D9" s="130">
        <f t="shared" si="4"/>
        <v>4939.7737607680001</v>
      </c>
      <c r="E9" s="130">
        <f t="shared" si="0"/>
        <v>458.92</v>
      </c>
      <c r="F9" s="130">
        <v>2880.5300621440001</v>
      </c>
      <c r="G9" s="130">
        <v>2059.243698624</v>
      </c>
      <c r="H9" s="130">
        <f>F9*B9</f>
        <v>20163.710435008001</v>
      </c>
      <c r="I9" s="130">
        <f t="shared" si="5"/>
        <v>14414.705890368001</v>
      </c>
      <c r="J9" s="130">
        <f t="shared" si="6"/>
        <v>34578.416325376005</v>
      </c>
      <c r="K9" s="132">
        <f t="shared" si="7"/>
        <v>0</v>
      </c>
      <c r="L9" s="132">
        <f t="shared" si="1"/>
        <v>20163.710435008001</v>
      </c>
      <c r="M9" s="130">
        <f t="shared" si="8"/>
        <v>31698425.477935214</v>
      </c>
      <c r="N9" s="133">
        <f t="shared" si="9"/>
        <v>221888978.34554648</v>
      </c>
      <c r="P9" s="134">
        <v>2</v>
      </c>
      <c r="Q9" s="134">
        <f>P9*'Muraba Veil Sale Summary'!$B9</f>
        <v>14</v>
      </c>
      <c r="R9" s="12"/>
      <c r="S9" s="12">
        <f t="shared" si="10"/>
        <v>14</v>
      </c>
      <c r="T9" s="12"/>
      <c r="U9" s="12">
        <f>'Muraba Veil Sale Summary'!$M9/'Muraba Veil Sale Summary'!$D9</f>
        <v>6416.9792004820429</v>
      </c>
      <c r="V9" s="12"/>
      <c r="W9" s="12"/>
      <c r="Y9" s="2">
        <v>5124.5200000000004</v>
      </c>
      <c r="AA9">
        <f t="shared" si="11"/>
        <v>482.72192253643618</v>
      </c>
    </row>
    <row r="10" spans="1:42" outlineLevel="1" x14ac:dyDescent="0.35">
      <c r="A10" s="142" t="s">
        <v>56</v>
      </c>
      <c r="B10" s="136">
        <f>COUNTIF(Table2[Type],'Muraba Veil Sale Summary'!A10)</f>
        <v>7</v>
      </c>
      <c r="C10" s="137">
        <f>AVERAGEIF(Table2[[#All],[Type]],'Muraba Veil Sale Summary'!A10,Table2[[#All],[Price]])/AVERAGEIF(Table2[[#All],[Type]],'Muraba Veil Sale Summary'!A10,Table2[[#All],[Total Area
(Sq.ft)]])</f>
        <v>5002.2117273674794</v>
      </c>
      <c r="D10" s="136">
        <f>F10+G10</f>
        <v>9902.3670115839996</v>
      </c>
      <c r="E10" s="136">
        <f t="shared" si="0"/>
        <v>919.95999999999992</v>
      </c>
      <c r="F10" s="136">
        <v>4643.5509465599998</v>
      </c>
      <c r="G10" s="136">
        <v>5258.8160650240006</v>
      </c>
      <c r="H10" s="136">
        <f>F10*B10</f>
        <v>32504.856625919998</v>
      </c>
      <c r="I10" s="136">
        <f>G10*B10</f>
        <v>36811.712455168003</v>
      </c>
      <c r="J10" s="136">
        <f>H10+I10</f>
        <v>69316.569081088004</v>
      </c>
      <c r="K10" s="138">
        <f>I10*$K$4</f>
        <v>0</v>
      </c>
      <c r="L10" s="138">
        <f t="shared" si="1"/>
        <v>32504.856625919998</v>
      </c>
      <c r="M10" s="136">
        <f>C10*D10</f>
        <v>49533736.394042343</v>
      </c>
      <c r="N10" s="139">
        <f>M10*B10</f>
        <v>346736154.75829637</v>
      </c>
      <c r="P10" s="140">
        <v>3</v>
      </c>
      <c r="Q10" s="140">
        <f>P10*'Muraba Veil Sale Summary'!$B10</f>
        <v>21</v>
      </c>
      <c r="R10" s="12">
        <f>SUM('[1]Muraba Unit Wise Details '!L101:L117)</f>
        <v>577249379.96179569</v>
      </c>
      <c r="S10" s="12">
        <f t="shared" si="10"/>
        <v>-577249358.96179569</v>
      </c>
      <c r="T10" s="12"/>
      <c r="U10" s="12">
        <f>'Muraba Veil Sale Summary'!$M10/'Muraba Veil Sale Summary'!$D10</f>
        <v>5002.2117273674794</v>
      </c>
      <c r="V10" s="12"/>
      <c r="W10" s="12"/>
      <c r="Y10" s="2">
        <v>10105.89</v>
      </c>
      <c r="AA10">
        <f t="shared" si="11"/>
        <v>951.95933467753946</v>
      </c>
    </row>
    <row r="11" spans="1:42" outlineLevel="1" x14ac:dyDescent="0.35">
      <c r="A11" s="141" t="s">
        <v>31</v>
      </c>
      <c r="B11" s="130">
        <f>COUNTIF(Table2[Type],'Muraba Veil Sale Summary'!A11)</f>
        <v>1</v>
      </c>
      <c r="C11" s="131">
        <f>AVERAGEIF(Table2[[#All],[Type]],'Muraba Veil Sale Summary'!A11,Table2[[#All],[Price]])/AVERAGEIF(Table2[[#All],[Type]],'Muraba Veil Sale Summary'!A11,Table2[[#All],[Total Area
(Sq.ft)]])</f>
        <v>9862.1634275058295</v>
      </c>
      <c r="D11" s="130">
        <f t="shared" si="4"/>
        <v>8067.7661230079993</v>
      </c>
      <c r="E11" s="130">
        <f t="shared" si="0"/>
        <v>749.51999999999987</v>
      </c>
      <c r="F11" s="130">
        <v>4733.5372375039997</v>
      </c>
      <c r="G11" s="130">
        <v>3334.2288855040001</v>
      </c>
      <c r="H11" s="130">
        <f t="shared" ref="H11" si="12">F11*B11</f>
        <v>4733.5372375039997</v>
      </c>
      <c r="I11" s="130">
        <f t="shared" si="5"/>
        <v>3334.2288855040001</v>
      </c>
      <c r="J11" s="130">
        <f t="shared" si="6"/>
        <v>8067.7661230079993</v>
      </c>
      <c r="K11" s="132">
        <f t="shared" si="7"/>
        <v>0</v>
      </c>
      <c r="L11" s="132">
        <f t="shared" si="1"/>
        <v>4733.5372375039997</v>
      </c>
      <c r="M11" s="130">
        <f t="shared" si="8"/>
        <v>79565627.999999985</v>
      </c>
      <c r="N11" s="133">
        <f t="shared" si="9"/>
        <v>79565627.999999985</v>
      </c>
      <c r="P11" s="134">
        <v>3</v>
      </c>
      <c r="Q11" s="134">
        <f>P11*'Muraba Veil Sale Summary'!$B11</f>
        <v>3</v>
      </c>
      <c r="R11" s="12"/>
      <c r="S11" s="12">
        <f t="shared" si="10"/>
        <v>3</v>
      </c>
      <c r="T11" s="12"/>
      <c r="U11" s="12">
        <f>'Muraba Veil Sale Summary'!$M11/'Muraba Veil Sale Summary'!$D11</f>
        <v>9862.1634275058295</v>
      </c>
      <c r="V11" s="12"/>
      <c r="W11" s="12"/>
      <c r="Y11" s="2">
        <v>15121.689999999999</v>
      </c>
      <c r="AA11">
        <f t="shared" si="11"/>
        <v>1424.44</v>
      </c>
    </row>
    <row r="12" spans="1:42" outlineLevel="1" x14ac:dyDescent="0.35">
      <c r="A12" s="142" t="s">
        <v>30</v>
      </c>
      <c r="B12" s="136">
        <f>COUNTIF(Table2[Type],'Muraba Veil Sale Summary'!A12)</f>
        <v>1</v>
      </c>
      <c r="C12" s="137">
        <f>AVERAGEIF(Table2[[#All],[Type]],'Muraba Veil Sale Summary'!A12,Table2[[#All],[Price]])/AVERAGEIF(Table2[[#All],[Type]],'Muraba Veil Sale Summary'!A12,Table2[[#All],[Total Area
(Sq.ft)]])</f>
        <v>10798.796413024298</v>
      </c>
      <c r="D12" s="136">
        <f t="shared" si="4"/>
        <v>15332.544530176001</v>
      </c>
      <c r="E12" s="136">
        <f t="shared" si="0"/>
        <v>1424.44</v>
      </c>
      <c r="F12" s="136">
        <v>7474.8899381760011</v>
      </c>
      <c r="G12" s="136">
        <v>7857.6545919999999</v>
      </c>
      <c r="H12" s="136">
        <f>F12*B12</f>
        <v>7474.8899381760011</v>
      </c>
      <c r="I12" s="136">
        <f t="shared" si="5"/>
        <v>7857.6545919999999</v>
      </c>
      <c r="J12" s="136">
        <f t="shared" si="6"/>
        <v>15332.544530176001</v>
      </c>
      <c r="K12" s="138">
        <f t="shared" si="7"/>
        <v>0</v>
      </c>
      <c r="L12" s="138">
        <f t="shared" si="1"/>
        <v>7474.8899381760011</v>
      </c>
      <c r="M12" s="136">
        <f t="shared" si="8"/>
        <v>165573026.87499991</v>
      </c>
      <c r="N12" s="139">
        <f t="shared" si="9"/>
        <v>165573026.87499991</v>
      </c>
      <c r="P12" s="140">
        <v>4</v>
      </c>
      <c r="Q12" s="140">
        <f>P12*'Muraba Veil Sale Summary'!$B12</f>
        <v>4</v>
      </c>
      <c r="R12" s="12"/>
      <c r="S12" s="12">
        <f t="shared" si="10"/>
        <v>4</v>
      </c>
      <c r="T12" s="12"/>
      <c r="U12" s="12">
        <f>'Muraba Veil Sale Summary'!$M12/'Muraba Veil Sale Summary'!$D12</f>
        <v>10798.796413024298</v>
      </c>
      <c r="V12" s="12"/>
      <c r="W12" s="12"/>
      <c r="Y12" s="2">
        <v>15006.53</v>
      </c>
      <c r="AA12">
        <f t="shared" si="11"/>
        <v>1413.5921046655501</v>
      </c>
    </row>
    <row r="13" spans="1:42" outlineLevel="1" x14ac:dyDescent="0.35">
      <c r="A13" s="141" t="s">
        <v>33</v>
      </c>
      <c r="B13" s="130">
        <f>COUNTIF(Table2[Type],'Muraba Veil Sale Summary'!A13)</f>
        <v>1</v>
      </c>
      <c r="C13" s="131">
        <f>AVERAGEIF(Table2[[#All],[Type]],'Muraba Veil Sale Summary'!A13,Table2[[#All],[Price]])/AVERAGEIF(Table2[[#All],[Type]],'Muraba Veil Sale Summary'!A13,Table2[[#All],[Total Area
(Sq.ft)]])</f>
        <v>10011.227043047847</v>
      </c>
      <c r="D13" s="130">
        <f t="shared" si="4"/>
        <v>14745.696135168</v>
      </c>
      <c r="E13" s="130">
        <f t="shared" si="0"/>
        <v>1369.92</v>
      </c>
      <c r="F13" s="130">
        <v>7485.6538485760011</v>
      </c>
      <c r="G13" s="130">
        <v>7260.042286592</v>
      </c>
      <c r="H13" s="130">
        <f>F13*B13</f>
        <v>7485.6538485760011</v>
      </c>
      <c r="I13" s="130">
        <f t="shared" si="5"/>
        <v>7260.042286592</v>
      </c>
      <c r="J13" s="130">
        <f t="shared" si="6"/>
        <v>14745.696135168</v>
      </c>
      <c r="K13" s="132">
        <f t="shared" si="7"/>
        <v>0</v>
      </c>
      <c r="L13" s="132">
        <f t="shared" si="1"/>
        <v>7485.6538485760011</v>
      </c>
      <c r="M13" s="130">
        <f t="shared" si="8"/>
        <v>147622511.91696</v>
      </c>
      <c r="N13" s="133">
        <f t="shared" si="9"/>
        <v>147622511.91696</v>
      </c>
      <c r="P13" s="134">
        <v>4</v>
      </c>
      <c r="Q13" s="134">
        <f>P13*'Muraba Veil Sale Summary'!$B13</f>
        <v>4</v>
      </c>
      <c r="R13" s="12"/>
      <c r="S13" s="12">
        <f t="shared" si="10"/>
        <v>4</v>
      </c>
      <c r="T13" s="143"/>
      <c r="U13" s="12">
        <f>'Muraba Veil Sale Summary'!$M13/'Muraba Veil Sale Summary'!$D13</f>
        <v>10011.227043047847</v>
      </c>
      <c r="V13" s="25"/>
      <c r="W13" s="25"/>
      <c r="Y13" s="2">
        <v>25269.78</v>
      </c>
      <c r="AA13">
        <f t="shared" si="11"/>
        <v>2380.3745099390349</v>
      </c>
    </row>
    <row r="14" spans="1:42" outlineLevel="1" x14ac:dyDescent="0.35">
      <c r="A14" s="142" t="s">
        <v>34</v>
      </c>
      <c r="B14" s="136">
        <f>COUNTIF(Table2[Type],'Muraba Veil Sale Summary'!A14)</f>
        <v>1</v>
      </c>
      <c r="C14" s="137">
        <f>AVERAGEIF(Table2[[#All],[Type]],'Muraba Veil Sale Summary'!A14,Table2[[#All],[Price]])/AVERAGEIF(Table2[[#All],[Type]],'Muraba Veil Sale Summary'!A14,Table2[[#All],[Total Area
(Sq.ft)]])</f>
        <v>16194.636089448089</v>
      </c>
      <c r="D14" s="136">
        <f t="shared" si="4"/>
        <v>26666.73</v>
      </c>
      <c r="E14" s="136">
        <f t="shared" si="0"/>
        <v>2477.4202877051075</v>
      </c>
      <c r="F14" s="136">
        <v>11648.17</v>
      </c>
      <c r="G14" s="136">
        <v>15018.56</v>
      </c>
      <c r="H14" s="136">
        <f>F14*B14</f>
        <v>11648.17</v>
      </c>
      <c r="I14" s="136">
        <f t="shared" si="5"/>
        <v>15018.56</v>
      </c>
      <c r="J14" s="136">
        <f t="shared" si="6"/>
        <v>26666.73</v>
      </c>
      <c r="K14" s="138">
        <f t="shared" si="7"/>
        <v>0</v>
      </c>
      <c r="L14" s="138">
        <f t="shared" si="1"/>
        <v>11648.17</v>
      </c>
      <c r="M14" s="136">
        <f t="shared" si="8"/>
        <v>431857988.04556805</v>
      </c>
      <c r="N14" s="139">
        <f t="shared" si="9"/>
        <v>431857988.04556805</v>
      </c>
      <c r="P14" s="140">
        <v>6</v>
      </c>
      <c r="Q14" s="140">
        <f>P14*'Muraba Veil Sale Summary'!$B14</f>
        <v>6</v>
      </c>
      <c r="R14" s="12"/>
      <c r="S14" s="12"/>
      <c r="T14" s="12"/>
      <c r="U14" s="12"/>
      <c r="V14" s="12"/>
      <c r="W14" s="12"/>
    </row>
    <row r="15" spans="1:42" outlineLevel="1" x14ac:dyDescent="0.35">
      <c r="A15" s="144" t="s">
        <v>16</v>
      </c>
      <c r="B15" s="131">
        <f>SUM(B6:B14)</f>
        <v>174</v>
      </c>
      <c r="C15" s="131"/>
      <c r="D15" s="131"/>
      <c r="E15" s="131"/>
      <c r="F15" s="131"/>
      <c r="G15" s="131"/>
      <c r="H15" s="131">
        <f>SUM(H6:H14)</f>
        <v>464549.92579487991</v>
      </c>
      <c r="I15" s="131">
        <f>SUM(I6:I14)</f>
        <v>360170.34351776005</v>
      </c>
      <c r="J15" s="131">
        <f>SUM(J6:J14)</f>
        <v>824720.26931263984</v>
      </c>
      <c r="K15" s="145">
        <f>SUM(K6:K14)</f>
        <v>0</v>
      </c>
      <c r="L15" s="145">
        <f>SUM(L6:L14)</f>
        <v>464549.92579487991</v>
      </c>
      <c r="M15" s="131"/>
      <c r="N15" s="146">
        <f>SUM(N6:N14)</f>
        <v>5116774971.0315142</v>
      </c>
      <c r="P15" s="147">
        <f>SUM(P6:P14)</f>
        <v>26</v>
      </c>
      <c r="Q15" s="147">
        <f>SUM(Q6:Q14)</f>
        <v>264</v>
      </c>
    </row>
    <row r="16" spans="1:42" outlineLevel="1" x14ac:dyDescent="0.35">
      <c r="A16" s="142"/>
      <c r="B16" s="136"/>
      <c r="C16" s="137"/>
      <c r="D16" s="136"/>
      <c r="E16" s="136"/>
      <c r="F16" s="136"/>
      <c r="G16" s="136"/>
      <c r="H16" s="136"/>
      <c r="I16" s="136"/>
      <c r="J16" s="136">
        <v>818187</v>
      </c>
      <c r="K16" s="138"/>
      <c r="L16" s="138"/>
      <c r="M16" s="136"/>
      <c r="N16" s="139"/>
    </row>
    <row r="17" spans="1:13" outlineLevel="1" x14ac:dyDescent="0.35">
      <c r="C17" s="183"/>
      <c r="E17" s="183"/>
      <c r="J17" s="230">
        <f>J16-J15</f>
        <v>-6533.2693126398372</v>
      </c>
    </row>
    <row r="18" spans="1:13" outlineLevel="1" x14ac:dyDescent="0.35">
      <c r="G18" t="s">
        <v>122</v>
      </c>
      <c r="H18" t="s">
        <v>123</v>
      </c>
      <c r="K18" s="183"/>
    </row>
    <row r="19" spans="1:13" x14ac:dyDescent="0.35">
      <c r="G19" s="148" t="s">
        <v>124</v>
      </c>
      <c r="H19" s="149">
        <v>0.05</v>
      </c>
      <c r="K19" s="183"/>
    </row>
    <row r="20" spans="1:13" ht="24" thickBot="1" x14ac:dyDescent="0.6">
      <c r="A20" s="150" t="s">
        <v>125</v>
      </c>
      <c r="B20" s="151"/>
      <c r="G20" s="148" t="s">
        <v>126</v>
      </c>
      <c r="H20" s="152">
        <v>5.2499999999999998E-2</v>
      </c>
      <c r="J20">
        <f>D6*3</f>
        <v>11514.262593984</v>
      </c>
      <c r="K20">
        <v>15333</v>
      </c>
      <c r="L20">
        <f>3838*2</f>
        <v>7676</v>
      </c>
      <c r="M20">
        <v>4939</v>
      </c>
    </row>
    <row r="21" spans="1:13" ht="21.5" thickTop="1" x14ac:dyDescent="0.5">
      <c r="A21" s="153" t="s">
        <v>1</v>
      </c>
      <c r="B21" s="153" t="s">
        <v>127</v>
      </c>
      <c r="G21" s="148" t="s">
        <v>128</v>
      </c>
      <c r="H21" s="152">
        <v>5.5E-2</v>
      </c>
      <c r="J21">
        <f>D8*4</f>
        <v>19757.803373824001</v>
      </c>
    </row>
    <row r="22" spans="1:13" ht="21" x14ac:dyDescent="0.5">
      <c r="A22" s="154" t="s">
        <v>18</v>
      </c>
      <c r="B22" s="155">
        <v>475000</v>
      </c>
      <c r="D22" s="156"/>
      <c r="G22" s="148" t="s">
        <v>129</v>
      </c>
      <c r="H22" s="152">
        <v>5.7500000000000002E-2</v>
      </c>
      <c r="J22">
        <f>SUM(J20:J21)</f>
        <v>31272.065967808001</v>
      </c>
    </row>
    <row r="23" spans="1:13" ht="21" x14ac:dyDescent="0.5">
      <c r="A23" s="154" t="s">
        <v>25</v>
      </c>
      <c r="B23" s="155">
        <v>550000</v>
      </c>
      <c r="G23" s="148" t="s">
        <v>130</v>
      </c>
      <c r="H23" s="149">
        <v>0.06</v>
      </c>
    </row>
    <row r="24" spans="1:13" ht="21" x14ac:dyDescent="0.5">
      <c r="A24" s="154" t="s">
        <v>27</v>
      </c>
      <c r="B24" s="155">
        <v>600000</v>
      </c>
    </row>
    <row r="25" spans="1:13" ht="21" x14ac:dyDescent="0.5">
      <c r="A25" s="154" t="s">
        <v>28</v>
      </c>
      <c r="B25" s="155">
        <v>800000</v>
      </c>
    </row>
    <row r="26" spans="1:13" ht="21" x14ac:dyDescent="0.5">
      <c r="A26" s="154" t="s">
        <v>31</v>
      </c>
      <c r="B26" s="155">
        <v>800000</v>
      </c>
    </row>
    <row r="27" spans="1:13" ht="21" x14ac:dyDescent="0.5">
      <c r="A27" s="154" t="s">
        <v>131</v>
      </c>
      <c r="B27" s="155">
        <v>850000</v>
      </c>
    </row>
    <row r="28" spans="1:13" ht="21" x14ac:dyDescent="0.5">
      <c r="A28" s="154" t="s">
        <v>33</v>
      </c>
      <c r="B28" s="155">
        <v>850000</v>
      </c>
    </row>
    <row r="29" spans="1:13" ht="21" x14ac:dyDescent="0.5">
      <c r="A29" s="154" t="s">
        <v>132</v>
      </c>
      <c r="B29" s="155">
        <v>1250000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BD80-FBF0-4502-9016-0B06855E2F35}">
  <dimension ref="A1:AP227"/>
  <sheetViews>
    <sheetView showGridLines="0" topLeftCell="B128" workbookViewId="0">
      <selection activeCell="L137" sqref="L137"/>
    </sheetView>
  </sheetViews>
  <sheetFormatPr defaultRowHeight="14.5" x14ac:dyDescent="0.35"/>
  <cols>
    <col min="1" max="2" width="21.08984375" customWidth="1"/>
    <col min="4" max="5" width="14.6328125" customWidth="1"/>
    <col min="6" max="6" width="15.1796875" customWidth="1"/>
    <col min="7" max="7" width="12.6328125" customWidth="1"/>
    <col min="8" max="8" width="14.6328125" customWidth="1"/>
    <col min="9" max="9" width="17.6328125" bestFit="1" customWidth="1"/>
    <col min="10" max="10" width="16.54296875" style="2" bestFit="1" customWidth="1"/>
    <col min="11" max="11" width="16.08984375" style="2" customWidth="1"/>
    <col min="12" max="12" width="16.08984375" bestFit="1" customWidth="1"/>
    <col min="13" max="13" width="16.08984375" style="14" customWidth="1"/>
    <col min="14" max="21" width="16.08984375" customWidth="1"/>
    <col min="23" max="23" width="12.1796875" bestFit="1" customWidth="1"/>
    <col min="27" max="27" width="16.08984375" bestFit="1" customWidth="1"/>
    <col min="28" max="28" width="11.6328125" bestFit="1" customWidth="1"/>
    <col min="33" max="33" width="9.08984375" bestFit="1" customWidth="1"/>
    <col min="34" max="34" width="13.54296875" bestFit="1" customWidth="1"/>
    <col min="36" max="36" width="12" bestFit="1" customWidth="1"/>
    <col min="37" max="37" width="10.08984375" bestFit="1" customWidth="1"/>
    <col min="38" max="38" width="9.6328125" bestFit="1" customWidth="1"/>
    <col min="42" max="43" width="11.54296875" bestFit="1" customWidth="1"/>
  </cols>
  <sheetData>
    <row r="1" spans="1:40" ht="19.5" x14ac:dyDescent="0.45">
      <c r="A1" s="1" t="s">
        <v>0</v>
      </c>
      <c r="B1" s="1"/>
      <c r="M1" s="3"/>
    </row>
    <row r="2" spans="1:40" x14ac:dyDescent="0.35">
      <c r="M2" s="3"/>
    </row>
    <row r="3" spans="1:40" ht="29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4" t="s">
        <v>9</v>
      </c>
      <c r="J3" s="5" t="s">
        <v>10</v>
      </c>
      <c r="K3" s="4" t="s">
        <v>11</v>
      </c>
      <c r="L3" s="4" t="s">
        <v>12</v>
      </c>
      <c r="M3" s="6" t="s">
        <v>13</v>
      </c>
      <c r="N3" s="7" t="s">
        <v>283</v>
      </c>
      <c r="O3" s="7" t="s">
        <v>284</v>
      </c>
      <c r="P3" s="7" t="s">
        <v>308</v>
      </c>
      <c r="Q3" s="7" t="s">
        <v>309</v>
      </c>
      <c r="R3" s="4" t="s">
        <v>310</v>
      </c>
    </row>
    <row r="4" spans="1:40" ht="16.5" x14ac:dyDescent="0.35">
      <c r="A4" s="173" t="str">
        <f>IF(Table2[[#This Row],[Unit ]]="","","2 Bedroom")</f>
        <v>2 Bedroom</v>
      </c>
      <c r="B4" s="166" t="s">
        <v>19</v>
      </c>
      <c r="C4" s="165">
        <v>302</v>
      </c>
      <c r="D4" s="167" t="s">
        <v>20</v>
      </c>
      <c r="E4" s="168">
        <f>IF(Table2[[#This Row],[Unit ]]="","",_xlfn.XLOOKUP(Table2[[#This Row],[Type]],'Muraba Veil Sale Summary'!A:A,'Muraba Veil Sale Summary'!P:P))</f>
        <v>2</v>
      </c>
      <c r="F4" s="169">
        <f>IF(Table2[[#This Row],[Unit ]]="","",_xlfn.XLOOKUP(Table2[[#This Row],[Type]],'Muraba Veil Sale Summary'!$A:$A,'Muraba Veil Sale Summary'!F:F))</f>
        <v>2218.7648507519998</v>
      </c>
      <c r="G4" s="169">
        <f>IF(Table2[[#This Row],[Unit ]]="","",_xlfn.XLOOKUP(Table2[[#This Row],[Type]],'Muraba Veil Sale Summary'!$A:$A,'Muraba Veil Sale Summary'!G:G))</f>
        <v>1619.322680576</v>
      </c>
      <c r="H4" s="169">
        <f t="shared" ref="H4:H35" si="0">IFERROR(F4+G4,0)</f>
        <v>3838.0875313279998</v>
      </c>
      <c r="I4" s="170">
        <f>'Launches Residences'!$U$7</f>
        <v>0.3</v>
      </c>
      <c r="J4" s="169">
        <f>IF(Table2[[#This Row],[Unit ]]="","",F4+(G4*Table2[[#This Row],[Terrace Area]]))</f>
        <v>2704.5616549247998</v>
      </c>
      <c r="K4" s="171">
        <f>_xlfn.XLOOKUP(Table2[[#This Row],[Unit ]],'Launches Residences'!$E$15:$E$71,'Launches Residences'!$I$15:$I$71)</f>
        <v>4350</v>
      </c>
      <c r="L4" s="171">
        <v>11764843.198922878</v>
      </c>
      <c r="M4" s="172">
        <f>Table2[[#This Row],[Price/Sq.ft]]</f>
        <v>4350</v>
      </c>
      <c r="N4" s="8">
        <f>VLOOKUP(Table2[[#This Row],[Unit ]],'[1]Muraba Unit Wise Details '!$C$4:$L$67,10,FALSE)</f>
        <v>11764843.198922878</v>
      </c>
      <c r="O4" s="8">
        <f>Table2[[#This Row],[Column2]]-Table2[[#This Row],[Price]]</f>
        <v>0</v>
      </c>
      <c r="P4" s="8">
        <f>Table2[[#This Row],[Price]]/Table2[[#This Row],[Total Area
(Sq.ft)]]</f>
        <v>3065.2878817623464</v>
      </c>
      <c r="Q4" s="162">
        <f>Table2[[#This Row],[Price]]/Table2[[#This Row],[Sellable Area
(Sq. ft)]]</f>
        <v>4350</v>
      </c>
      <c r="R4" s="209"/>
      <c r="S4" s="183"/>
      <c r="U4" s="183"/>
      <c r="AF4" s="183"/>
      <c r="AG4" s="11"/>
      <c r="AI4" s="9"/>
      <c r="AN4" s="183"/>
    </row>
    <row r="5" spans="1:40" ht="16.5" x14ac:dyDescent="0.35">
      <c r="A5" s="173" t="str">
        <f>IF(Table2[[#This Row],[Unit ]]="","","2 Bedroom")</f>
        <v>2 Bedroom</v>
      </c>
      <c r="B5" s="166" t="s">
        <v>19</v>
      </c>
      <c r="C5" s="165">
        <v>303</v>
      </c>
      <c r="D5" s="167" t="s">
        <v>20</v>
      </c>
      <c r="E5" s="168">
        <f>IF(Table2[[#This Row],[Unit ]]="","",_xlfn.XLOOKUP(Table2[[#This Row],[Type]],'Muraba Veil Sale Summary'!A:A,'Muraba Veil Sale Summary'!P:P))</f>
        <v>2</v>
      </c>
      <c r="F5" s="169">
        <f>IF(Table2[[#This Row],[Unit ]]="","",_xlfn.XLOOKUP(Table2[[#This Row],[Type]],'Muraba Veil Sale Summary'!$A:$A,'Muraba Veil Sale Summary'!F:F))</f>
        <v>2218.7648507519998</v>
      </c>
      <c r="G5" s="169">
        <f>IF(Table2[[#This Row],[Unit ]]="","",_xlfn.XLOOKUP(Table2[[#This Row],[Type]],'Muraba Veil Sale Summary'!$A:$A,'Muraba Veil Sale Summary'!G:G))</f>
        <v>1619.322680576</v>
      </c>
      <c r="H5" s="169">
        <f t="shared" si="0"/>
        <v>3838.0875313279998</v>
      </c>
      <c r="I5" s="170">
        <f>'Launches Residences'!$U$7</f>
        <v>0.3</v>
      </c>
      <c r="J5" s="169">
        <f>IF(Table2[[#This Row],[Unit ]]="","",F5+(G5*Table2[[#This Row],[Terrace Area]]))</f>
        <v>2704.5616549247998</v>
      </c>
      <c r="K5" s="171">
        <f>_xlfn.XLOOKUP(Table2[[#This Row],[Unit ]],'Launches Residences'!$F$15:$F$71,'Launches Residences'!$J$15:$J$71)</f>
        <v>4350</v>
      </c>
      <c r="L5" s="171">
        <v>11764843.198922878</v>
      </c>
      <c r="M5" s="172">
        <f>Table2[[#This Row],[Price/Sq.ft]]</f>
        <v>4350</v>
      </c>
      <c r="N5" s="8">
        <f>VLOOKUP(Table2[[#This Row],[Unit ]],'[1]Muraba Unit Wise Details '!$C$4:$L$67,10,FALSE)</f>
        <v>11764843.198922878</v>
      </c>
      <c r="O5" s="8">
        <f>Table2[[#This Row],[Column2]]-Table2[[#This Row],[Price]]</f>
        <v>0</v>
      </c>
      <c r="P5" s="8">
        <f>Table2[[#This Row],[Price]]/Table2[[#This Row],[Total Area
(Sq.ft)]]</f>
        <v>3065.2878817623464</v>
      </c>
      <c r="Q5" s="162">
        <f>Table2[[#This Row],[Price]]/Table2[[#This Row],[Sellable Area
(Sq. ft)]]</f>
        <v>4350</v>
      </c>
      <c r="R5" s="209"/>
      <c r="S5" s="183"/>
      <c r="AF5" s="183"/>
      <c r="AG5" s="11"/>
      <c r="AI5" s="9"/>
      <c r="AJ5" s="9"/>
      <c r="AN5" s="183"/>
    </row>
    <row r="6" spans="1:40" ht="16.5" x14ac:dyDescent="0.35">
      <c r="A6" s="173" t="str">
        <f>IF(Table2[[#This Row],[Unit ]]="","","2 Bedroom")</f>
        <v>2 Bedroom</v>
      </c>
      <c r="B6" s="166" t="s">
        <v>19</v>
      </c>
      <c r="C6" s="165">
        <v>402</v>
      </c>
      <c r="D6" s="167" t="s">
        <v>22</v>
      </c>
      <c r="E6" s="168">
        <f>IF(Table2[[#This Row],[Unit ]]="","",_xlfn.XLOOKUP(Table2[[#This Row],[Type]],'Muraba Veil Sale Summary'!A:A,'Muraba Veil Sale Summary'!P:P))</f>
        <v>2</v>
      </c>
      <c r="F6" s="169">
        <f>IF(Table2[[#This Row],[Unit ]]="","",_xlfn.XLOOKUP(Table2[[#This Row],[Type]],'Muraba Veil Sale Summary'!$A:$A,'Muraba Veil Sale Summary'!F:F))</f>
        <v>2218.7648507519998</v>
      </c>
      <c r="G6" s="169">
        <f>IF(Table2[[#This Row],[Unit ]]="","",_xlfn.XLOOKUP(Table2[[#This Row],[Type]],'Muraba Veil Sale Summary'!$A:$A,'Muraba Veil Sale Summary'!G:G))</f>
        <v>1619.322680576</v>
      </c>
      <c r="H6" s="169">
        <f t="shared" si="0"/>
        <v>3838.0875313279998</v>
      </c>
      <c r="I6" s="170">
        <f>'Launches Residences'!$U$7</f>
        <v>0.3</v>
      </c>
      <c r="J6" s="169">
        <f>IF(Table2[[#This Row],[Unit ]]="","",F6+(G6*Table2[[#This Row],[Terrace Area]]))</f>
        <v>2704.5616549247998</v>
      </c>
      <c r="K6" s="171">
        <f>_xlfn.XLOOKUP(Table2[[#This Row],[Unit ]],'Launches Residences'!$E$15:$E$71,'Launches Residences'!$I$15:$I$71)</f>
        <v>4227.4998535087598</v>
      </c>
      <c r="L6" s="171">
        <v>11433534</v>
      </c>
      <c r="M6" s="172">
        <f>Table2[[#This Row],[Price/Sq.ft]]</f>
        <v>4227.4998535087598</v>
      </c>
      <c r="N6" s="8">
        <f>VLOOKUP(Table2[[#This Row],[Unit ]],'[1]Muraba Unit Wise Details '!$C$4:$L$67,10,FALSE)</f>
        <v>11433534</v>
      </c>
      <c r="O6" s="8">
        <f>Table2[[#This Row],[Column2]]-Table2[[#This Row],[Price]]</f>
        <v>0</v>
      </c>
      <c r="P6" s="8">
        <f>Table2[[#This Row],[Price]]/Table2[[#This Row],[Total Area
(Sq.ft)]]</f>
        <v>2978.9664531293097</v>
      </c>
      <c r="Q6" s="162">
        <f>Table2[[#This Row],[Price]]/Table2[[#This Row],[Sellable Area
(Sq. ft)]]</f>
        <v>4227.4998535087598</v>
      </c>
      <c r="R6" s="209"/>
      <c r="S6" s="183"/>
      <c r="T6" s="183"/>
      <c r="AF6" s="183"/>
      <c r="AG6" s="11"/>
      <c r="AH6" s="10"/>
      <c r="AI6" s="9"/>
      <c r="AJ6" s="9"/>
      <c r="AN6" s="183"/>
    </row>
    <row r="7" spans="1:40" ht="16.5" x14ac:dyDescent="0.35">
      <c r="A7" s="173" t="str">
        <f>IF(Table2[[#This Row],[Unit ]]="","","2 Bedroom")</f>
        <v>2 Bedroom</v>
      </c>
      <c r="B7" s="166" t="s">
        <v>19</v>
      </c>
      <c r="C7" s="165">
        <v>403</v>
      </c>
      <c r="D7" s="167" t="s">
        <v>22</v>
      </c>
      <c r="E7" s="168">
        <f>IF(Table2[[#This Row],[Unit ]]="","",_xlfn.XLOOKUP(Table2[[#This Row],[Type]],'Muraba Veil Sale Summary'!A:A,'Muraba Veil Sale Summary'!P:P))</f>
        <v>2</v>
      </c>
      <c r="F7" s="169">
        <f>IF(Table2[[#This Row],[Unit ]]="","",_xlfn.XLOOKUP(Table2[[#This Row],[Type]],'Muraba Veil Sale Summary'!$A:$A,'Muraba Veil Sale Summary'!F:F))</f>
        <v>2218.7648507519998</v>
      </c>
      <c r="G7" s="169">
        <f>IF(Table2[[#This Row],[Unit ]]="","",_xlfn.XLOOKUP(Table2[[#This Row],[Type]],'Muraba Veil Sale Summary'!$A:$A,'Muraba Veil Sale Summary'!G:G))</f>
        <v>1619.322680576</v>
      </c>
      <c r="H7" s="169">
        <f t="shared" si="0"/>
        <v>3838.0875313279998</v>
      </c>
      <c r="I7" s="170">
        <f>'Launches Residences'!$U$7</f>
        <v>0.3</v>
      </c>
      <c r="J7" s="169">
        <f>IF(Table2[[#This Row],[Unit ]]="","",F7+(G7*Table2[[#This Row],[Terrace Area]]))</f>
        <v>2704.5616549247998</v>
      </c>
      <c r="K7" s="171">
        <f>_xlfn.XLOOKUP(Table2[[#This Row],[Unit ]],'Launches Residences'!$F$15:$F$71,'Launches Residences'!$J$15:$J$71)</f>
        <v>4449.9998652589939</v>
      </c>
      <c r="L7" s="171">
        <v>12035299</v>
      </c>
      <c r="M7" s="172">
        <f>Table2[[#This Row],[Price/Sq.ft]]</f>
        <v>4449.9998652589939</v>
      </c>
      <c r="N7" s="8">
        <f>VLOOKUP(Table2[[#This Row],[Unit ]],'[1]Muraba Unit Wise Details '!$C$4:$L$67,10,FALSE)</f>
        <v>12035299</v>
      </c>
      <c r="O7" s="8">
        <f>Table2[[#This Row],[Column2]]-Table2[[#This Row],[Price]]</f>
        <v>0</v>
      </c>
      <c r="P7" s="8">
        <f>Table2[[#This Row],[Price]]/Table2[[#This Row],[Total Area
(Sq.ft)]]</f>
        <v>3135.7541749017169</v>
      </c>
      <c r="Q7" s="162">
        <f>Table2[[#This Row],[Price]]/Table2[[#This Row],[Sellable Area
(Sq. ft)]]</f>
        <v>4449.9998652589939</v>
      </c>
      <c r="R7" s="209"/>
      <c r="S7" s="183"/>
      <c r="T7" s="183"/>
      <c r="AF7" s="183"/>
      <c r="AG7" s="11"/>
      <c r="AH7" s="10"/>
      <c r="AI7" s="9"/>
      <c r="AJ7" s="9"/>
      <c r="AN7" s="183"/>
    </row>
    <row r="8" spans="1:40" ht="16.5" x14ac:dyDescent="0.35">
      <c r="A8" s="173" t="str">
        <f>IF(Table2[[#This Row],[Unit ]]="","","2 Bedroom")</f>
        <v>2 Bedroom</v>
      </c>
      <c r="B8" s="166" t="s">
        <v>19</v>
      </c>
      <c r="C8" s="165">
        <v>502</v>
      </c>
      <c r="D8" s="167" t="s">
        <v>23</v>
      </c>
      <c r="E8" s="168">
        <f>IF(Table2[[#This Row],[Unit ]]="","",_xlfn.XLOOKUP(Table2[[#This Row],[Type]],'Muraba Veil Sale Summary'!A:A,'Muraba Veil Sale Summary'!P:P))</f>
        <v>2</v>
      </c>
      <c r="F8" s="169">
        <f>IF(Table2[[#This Row],[Unit ]]="","",_xlfn.XLOOKUP(Table2[[#This Row],[Type]],'Muraba Veil Sale Summary'!$A:$A,'Muraba Veil Sale Summary'!F:F))</f>
        <v>2218.7648507519998</v>
      </c>
      <c r="G8" s="169">
        <f>IF(Table2[[#This Row],[Unit ]]="","",_xlfn.XLOOKUP(Table2[[#This Row],[Type]],'Muraba Veil Sale Summary'!$A:$A,'Muraba Veil Sale Summary'!G:G))</f>
        <v>1619.322680576</v>
      </c>
      <c r="H8" s="169">
        <f t="shared" si="0"/>
        <v>3838.0875313279998</v>
      </c>
      <c r="I8" s="170">
        <f>'Launches Residences'!$U$7</f>
        <v>0.3</v>
      </c>
      <c r="J8" s="169">
        <f>IF(Table2[[#This Row],[Unit ]]="","",F8+(G8*Table2[[#This Row],[Terrace Area]]))</f>
        <v>2704.5616549247998</v>
      </c>
      <c r="K8" s="171">
        <f>_xlfn.XLOOKUP(Table2[[#This Row],[Unit ]],'Launches Residences'!$E$15:$E$71,'Launches Residences'!$I$15:$I$71)</f>
        <v>4550.0001738145475</v>
      </c>
      <c r="L8" s="171">
        <v>12305756</v>
      </c>
      <c r="M8" s="172">
        <f>Table2[[#This Row],[Price/Sq.ft]]</f>
        <v>4550.0001738145475</v>
      </c>
      <c r="N8" s="8">
        <f>VLOOKUP(Table2[[#This Row],[Unit ]],'[1]Muraba Unit Wise Details '!$C$4:$L$67,10,FALSE)</f>
        <v>12305756</v>
      </c>
      <c r="O8" s="8">
        <f>Table2[[#This Row],[Column2]]-Table2[[#This Row],[Price]]</f>
        <v>0</v>
      </c>
      <c r="P8" s="8">
        <f>Table2[[#This Row],[Price]]/Table2[[#This Row],[Total Area
(Sq.ft)]]</f>
        <v>3206.2207804161621</v>
      </c>
      <c r="Q8" s="162">
        <f>Table2[[#This Row],[Price]]/Table2[[#This Row],[Sellable Area
(Sq. ft)]]</f>
        <v>4550.0001738145475</v>
      </c>
      <c r="R8" s="209"/>
      <c r="S8" s="183"/>
      <c r="AF8" s="183"/>
      <c r="AG8" s="11"/>
      <c r="AH8" s="10"/>
      <c r="AI8" s="9"/>
      <c r="AJ8" s="9"/>
      <c r="AN8" s="183"/>
    </row>
    <row r="9" spans="1:40" ht="16.5" x14ac:dyDescent="0.35">
      <c r="A9" s="157" t="str">
        <f>IF(Table2[[#This Row],[Unit ]]="","","2 Bedroom")</f>
        <v>2 Bedroom</v>
      </c>
      <c r="B9" s="158" t="s">
        <v>21</v>
      </c>
      <c r="C9" s="159">
        <v>503</v>
      </c>
      <c r="D9" s="160" t="s">
        <v>23</v>
      </c>
      <c r="E9" s="161">
        <f>IF(Table2[[#This Row],[Unit ]]="","",_xlfn.XLOOKUP(Table2[[#This Row],[Type]],'Muraba Veil Sale Summary'!A:A,'Muraba Veil Sale Summary'!P:P))</f>
        <v>2</v>
      </c>
      <c r="F9" s="162">
        <f>IF(Table2[[#This Row],[Unit ]]="","",_xlfn.XLOOKUP(Table2[[#This Row],[Type]],'Muraba Veil Sale Summary'!$A:$A,'Muraba Veil Sale Summary'!F:F))</f>
        <v>2218.7648507519998</v>
      </c>
      <c r="G9" s="162">
        <f>IF(Table2[[#This Row],[Unit ]]="","",_xlfn.XLOOKUP(Table2[[#This Row],[Type]],'Muraba Veil Sale Summary'!$A:$A,'Muraba Veil Sale Summary'!G:G))</f>
        <v>1619.322680576</v>
      </c>
      <c r="H9" s="162">
        <f t="shared" si="0"/>
        <v>3838.0875313279998</v>
      </c>
      <c r="I9" s="163">
        <f>'Launches Residences'!$U$7</f>
        <v>0.3</v>
      </c>
      <c r="J9" s="162">
        <f>IF(Table2[[#This Row],[Unit ]]="","",F9+(G9*Table2[[#This Row],[Terrace Area]]))</f>
        <v>2704.5616549247998</v>
      </c>
      <c r="K9" s="8">
        <f>_xlfn.XLOOKUP(Table2[[#This Row],[Unit ]],'Launches Residences'!$F$15:$F$71,'Launches Residences'!$J$15:$J$71)</f>
        <v>4550.0001738145475</v>
      </c>
      <c r="L9" s="8">
        <f>IFERROR(J9*K9,0)</f>
        <v>12305755.999999998</v>
      </c>
      <c r="M9" s="3">
        <f>Table2[[#This Row],[Price/Sq.ft]]</f>
        <v>4550.0001738145475</v>
      </c>
      <c r="N9" s="8">
        <f>VLOOKUP(Table2[[#This Row],[Unit ]],'[1]Muraba Unit Wise Details '!$C$4:$L$67,10,FALSE)</f>
        <v>13522808.274623999</v>
      </c>
      <c r="O9" s="8">
        <f>Table2[[#This Row],[Column2]]-Table2[[#This Row],[Price]]</f>
        <v>1217052.2746240012</v>
      </c>
      <c r="P9" s="8">
        <f>Table2[[#This Row],[Price]]/Table2[[#This Row],[Total Area
(Sq.ft)]]</f>
        <v>3206.2207804161612</v>
      </c>
      <c r="Q9" s="162">
        <f>Table2[[#This Row],[Price]]/Table2[[#This Row],[Sellable Area
(Sq. ft)]]</f>
        <v>4550.0001738145475</v>
      </c>
      <c r="R9" s="209"/>
      <c r="S9" s="183"/>
      <c r="AF9" s="183"/>
      <c r="AG9" s="11"/>
      <c r="AH9" s="10"/>
      <c r="AI9" s="9"/>
      <c r="AJ9" s="9"/>
      <c r="AN9" s="183"/>
    </row>
    <row r="10" spans="1:40" ht="16.5" x14ac:dyDescent="0.35">
      <c r="A10" s="157" t="str">
        <f>IF(Table2[[#This Row],[Unit ]]="","","2 Bedroom")</f>
        <v>2 Bedroom</v>
      </c>
      <c r="B10" s="158" t="s">
        <v>21</v>
      </c>
      <c r="C10" s="159">
        <v>602</v>
      </c>
      <c r="D10" s="160" t="s">
        <v>24</v>
      </c>
      <c r="E10" s="161">
        <f>IF(Table2[[#This Row],[Unit ]]="","",_xlfn.XLOOKUP(Table2[[#This Row],[Type]],'Muraba Veil Sale Summary'!A:A,'Muraba Veil Sale Summary'!P:P))</f>
        <v>2</v>
      </c>
      <c r="F10" s="162">
        <f>IF(Table2[[#This Row],[Unit ]]="","",_xlfn.XLOOKUP(Table2[[#This Row],[Type]],'Muraba Veil Sale Summary'!$A:$A,'Muraba Veil Sale Summary'!F:F))</f>
        <v>2218.7648507519998</v>
      </c>
      <c r="G10" s="162">
        <f>IF(Table2[[#This Row],[Unit ]]="","",_xlfn.XLOOKUP(Table2[[#This Row],[Type]],'Muraba Veil Sale Summary'!$A:$A,'Muraba Veil Sale Summary'!G:G))</f>
        <v>1619.322680576</v>
      </c>
      <c r="H10" s="162">
        <f t="shared" si="0"/>
        <v>3838.0875313279998</v>
      </c>
      <c r="I10" s="163">
        <f>'Launches Residences'!$U$7</f>
        <v>0.3</v>
      </c>
      <c r="J10" s="162">
        <f>IF(Table2[[#This Row],[Unit ]]="","",F10+(G10*Table2[[#This Row],[Terrace Area]]))</f>
        <v>2704.5616549247998</v>
      </c>
      <c r="K10" s="8">
        <f>_xlfn.XLOOKUP(Table2[[#This Row],[Unit ]],'Launches Residences'!$E$15:$E$71,'Launches Residences'!$I$15:$I$71)</f>
        <v>5150</v>
      </c>
      <c r="L10" s="8">
        <f>IFERROR(J10*K10,0)</f>
        <v>13928492.522862719</v>
      </c>
      <c r="M10" s="3">
        <f>Table2[[#This Row],[Price/Sq.ft]]</f>
        <v>5150</v>
      </c>
      <c r="N10" s="8">
        <f>VLOOKUP(Table2[[#This Row],[Unit ]],'[1]Muraba Unit Wise Details '!$C$4:$L$67,10,FALSE)</f>
        <v>13928492.522862719</v>
      </c>
      <c r="O10" s="8">
        <f>Table2[[#This Row],[Column2]]-Table2[[#This Row],[Price]]</f>
        <v>0</v>
      </c>
      <c r="P10" s="8">
        <f>Table2[[#This Row],[Price]]/Table2[[#This Row],[Total Area
(Sq.ft)]]</f>
        <v>3629.0189864542726</v>
      </c>
      <c r="Q10" s="162">
        <f>Table2[[#This Row],[Price]]/Table2[[#This Row],[Sellable Area
(Sq. ft)]]</f>
        <v>5150</v>
      </c>
      <c r="R10" s="209"/>
      <c r="S10" s="183"/>
      <c r="W10" s="11"/>
      <c r="Y10" s="9"/>
      <c r="AF10" s="183"/>
      <c r="AG10" s="11"/>
      <c r="AH10" s="10"/>
      <c r="AI10" s="9"/>
      <c r="AJ10" s="9"/>
      <c r="AN10" s="183"/>
    </row>
    <row r="11" spans="1:40" ht="16.5" x14ac:dyDescent="0.35">
      <c r="A11" s="173" t="str">
        <f>IF(Table2[[#This Row],[Unit ]]="","","2 Bedroom")</f>
        <v>2 Bedroom</v>
      </c>
      <c r="B11" s="166" t="s">
        <v>19</v>
      </c>
      <c r="C11" s="165">
        <v>603</v>
      </c>
      <c r="D11" s="167" t="s">
        <v>24</v>
      </c>
      <c r="E11" s="168">
        <f>IF(Table2[[#This Row],[Unit ]]="","",_xlfn.XLOOKUP(Table2[[#This Row],[Type]],'Muraba Veil Sale Summary'!A:A,'Muraba Veil Sale Summary'!P:P))</f>
        <v>2</v>
      </c>
      <c r="F11" s="169">
        <f>IF(Table2[[#This Row],[Unit ]]="","",_xlfn.XLOOKUP(Table2[[#This Row],[Type]],'Muraba Veil Sale Summary'!$A:$A,'Muraba Veil Sale Summary'!F:F))</f>
        <v>2218.7648507519998</v>
      </c>
      <c r="G11" s="169">
        <f>IF(Table2[[#This Row],[Unit ]]="","",_xlfn.XLOOKUP(Table2[[#This Row],[Type]],'Muraba Veil Sale Summary'!$A:$A,'Muraba Veil Sale Summary'!G:G))</f>
        <v>1619.322680576</v>
      </c>
      <c r="H11" s="169">
        <f t="shared" si="0"/>
        <v>3838.0875313279998</v>
      </c>
      <c r="I11" s="170">
        <f>'Launches Residences'!$U$7</f>
        <v>0.3</v>
      </c>
      <c r="J11" s="169">
        <f>IF(Table2[[#This Row],[Unit ]]="","",F11+(G11*Table2[[#This Row],[Terrace Area]]))</f>
        <v>2704.5616549247998</v>
      </c>
      <c r="K11" s="171">
        <f>_xlfn.XLOOKUP(Table2[[#This Row],[Unit ]],'Launches Residences'!$F$15:$F$71,'Launches Residences'!$J$15:$J$71)</f>
        <v>5050</v>
      </c>
      <c r="L11" s="171">
        <v>13658036.357370239</v>
      </c>
      <c r="M11" s="172">
        <f>Table2[[#This Row],[Price/Sq.ft]]</f>
        <v>5050</v>
      </c>
      <c r="N11" s="8">
        <f>VLOOKUP(Table2[[#This Row],[Unit ]],'[1]Muraba Unit Wise Details '!$C$4:$L$67,10,FALSE)</f>
        <v>13658036.357370239</v>
      </c>
      <c r="O11" s="8">
        <f>Table2[[#This Row],[Column2]]-Table2[[#This Row],[Price]]</f>
        <v>0</v>
      </c>
      <c r="P11" s="8">
        <f>Table2[[#This Row],[Price]]/Table2[[#This Row],[Total Area
(Sq.ft)]]</f>
        <v>3558.5525983677817</v>
      </c>
      <c r="Q11" s="162">
        <f>Table2[[#This Row],[Price]]/Table2[[#This Row],[Sellable Area
(Sq. ft)]]</f>
        <v>5050</v>
      </c>
      <c r="R11" s="209"/>
      <c r="S11" s="183"/>
      <c r="W11" s="11"/>
      <c r="Y11" s="9"/>
      <c r="AF11" s="183"/>
      <c r="AG11" s="11"/>
      <c r="AH11" s="10"/>
      <c r="AI11" s="9"/>
      <c r="AJ11" s="9"/>
      <c r="AN11" s="183"/>
    </row>
    <row r="12" spans="1:40" ht="16.5" x14ac:dyDescent="0.35">
      <c r="A12" s="173" t="str">
        <f>IF(Table2[[#This Row],[Unit ]]="","","2 Bedroom")</f>
        <v>2 Bedroom</v>
      </c>
      <c r="B12" s="166" t="s">
        <v>19</v>
      </c>
      <c r="C12" s="165">
        <v>702</v>
      </c>
      <c r="D12" s="167" t="s">
        <v>26</v>
      </c>
      <c r="E12" s="168">
        <f>IF(Table2[[#This Row],[Unit ]]="","",_xlfn.XLOOKUP(Table2[[#This Row],[Type]],'Muraba Veil Sale Summary'!A:A,'Muraba Veil Sale Summary'!P:P))</f>
        <v>2</v>
      </c>
      <c r="F12" s="169">
        <f>IF(Table2[[#This Row],[Unit ]]="","",_xlfn.XLOOKUP(Table2[[#This Row],[Type]],'Muraba Veil Sale Summary'!$A:$A,'Muraba Veil Sale Summary'!F:F))</f>
        <v>2218.7648507519998</v>
      </c>
      <c r="G12" s="169">
        <f>IF(Table2[[#This Row],[Unit ]]="","",_xlfn.XLOOKUP(Table2[[#This Row],[Type]],'Muraba Veil Sale Summary'!$A:$A,'Muraba Veil Sale Summary'!G:G))</f>
        <v>1619.322680576</v>
      </c>
      <c r="H12" s="169">
        <f t="shared" si="0"/>
        <v>3838.0875313279998</v>
      </c>
      <c r="I12" s="170">
        <f>'Launches Residences'!$U$7</f>
        <v>0.3</v>
      </c>
      <c r="J12" s="169">
        <f>IF(Table2[[#This Row],[Unit ]]="","",F12+(G12*Table2[[#This Row],[Terrace Area]]))</f>
        <v>2704.5616549247998</v>
      </c>
      <c r="K12" s="171">
        <f>_xlfn.XLOOKUP(Table2[[#This Row],[Unit ]],'Launches Residences'!$E$15:$E$71,'Launches Residences'!$I$15:$I$71)</f>
        <v>4750</v>
      </c>
      <c r="L12" s="171">
        <v>12846667.860892799</v>
      </c>
      <c r="M12" s="172">
        <f>Table2[[#This Row],[Price/Sq.ft]]</f>
        <v>4750</v>
      </c>
      <c r="N12" s="8">
        <f>VLOOKUP(Table2[[#This Row],[Unit ]],'[1]Muraba Unit Wise Details '!$C$4:$L$67,10,FALSE)</f>
        <v>12846667.860892799</v>
      </c>
      <c r="O12" s="8">
        <f>Table2[[#This Row],[Column2]]-Table2[[#This Row],[Price]]</f>
        <v>0</v>
      </c>
      <c r="P12" s="8">
        <f>Table2[[#This Row],[Price]]/Table2[[#This Row],[Total Area
(Sq.ft)]]</f>
        <v>3347.1534341083097</v>
      </c>
      <c r="Q12" s="162">
        <f>Table2[[#This Row],[Price]]/Table2[[#This Row],[Sellable Area
(Sq. ft)]]</f>
        <v>4750</v>
      </c>
      <c r="R12" s="209"/>
      <c r="S12" s="183"/>
      <c r="T12" s="183"/>
      <c r="W12" s="11"/>
      <c r="AF12" s="183"/>
      <c r="AG12" s="11"/>
      <c r="AH12" s="10"/>
      <c r="AI12" s="9"/>
      <c r="AJ12" s="9"/>
      <c r="AN12" s="183"/>
    </row>
    <row r="13" spans="1:40" ht="16.5" x14ac:dyDescent="0.35">
      <c r="A13" s="157" t="str">
        <f>IF(Table2[[#This Row],[Unit ]]="","","2 Bedroom")</f>
        <v>2 Bedroom</v>
      </c>
      <c r="B13" s="158" t="s">
        <v>21</v>
      </c>
      <c r="C13" s="159">
        <v>703</v>
      </c>
      <c r="D13" s="160" t="s">
        <v>26</v>
      </c>
      <c r="E13" s="161">
        <f>IF(Table2[[#This Row],[Unit ]]="","",_xlfn.XLOOKUP(Table2[[#This Row],[Type]],'Muraba Veil Sale Summary'!A:A,'Muraba Veil Sale Summary'!P:P))</f>
        <v>2</v>
      </c>
      <c r="F13" s="162">
        <f>IF(Table2[[#This Row],[Unit ]]="","",_xlfn.XLOOKUP(Table2[[#This Row],[Type]],'Muraba Veil Sale Summary'!$A:$A,'Muraba Veil Sale Summary'!F:F))</f>
        <v>2218.7648507519998</v>
      </c>
      <c r="G13" s="162">
        <f>IF(Table2[[#This Row],[Unit ]]="","",_xlfn.XLOOKUP(Table2[[#This Row],[Type]],'Muraba Veil Sale Summary'!$A:$A,'Muraba Veil Sale Summary'!G:G))</f>
        <v>1619.322680576</v>
      </c>
      <c r="H13" s="162">
        <f t="shared" si="0"/>
        <v>3838.0875313279998</v>
      </c>
      <c r="I13" s="163">
        <f>'Launches Residences'!$U$7</f>
        <v>0.3</v>
      </c>
      <c r="J13" s="162">
        <f>IF(Table2[[#This Row],[Unit ]]="","",F13+(G13*Table2[[#This Row],[Terrace Area]]))</f>
        <v>2704.5616549247998</v>
      </c>
      <c r="K13" s="8">
        <f>_xlfn.XLOOKUP(Table2[[#This Row],[Unit ]],'Launches Residences'!$F$15:$F$71,'Launches Residences'!$J$15:$J$71)</f>
        <v>4750</v>
      </c>
      <c r="L13" s="8">
        <f>IFERROR(J13*K13,0)</f>
        <v>12846667.860892799</v>
      </c>
      <c r="M13" s="3">
        <f>Table2[[#This Row],[Price/Sq.ft]]</f>
        <v>4750</v>
      </c>
      <c r="N13" s="8">
        <f>VLOOKUP(Table2[[#This Row],[Unit ]],'[1]Muraba Unit Wise Details '!$C$4:$L$67,10,FALSE)</f>
        <v>14334176.771101439</v>
      </c>
      <c r="O13" s="8">
        <f>Table2[[#This Row],[Column2]]-Table2[[#This Row],[Price]]</f>
        <v>1487508.9102086406</v>
      </c>
      <c r="P13" s="8">
        <f>Table2[[#This Row],[Price]]/Table2[[#This Row],[Total Area
(Sq.ft)]]</f>
        <v>3347.1534341083097</v>
      </c>
      <c r="Q13" s="162">
        <f>Table2[[#This Row],[Price]]/Table2[[#This Row],[Sellable Area
(Sq. ft)]]</f>
        <v>4750</v>
      </c>
      <c r="R13" s="209"/>
      <c r="S13" s="183"/>
      <c r="T13" s="183"/>
      <c r="W13" s="11"/>
      <c r="AF13" s="183"/>
      <c r="AG13" s="11"/>
      <c r="AH13" s="10"/>
      <c r="AI13" s="9"/>
      <c r="AJ13" s="9"/>
      <c r="AN13" s="183"/>
    </row>
    <row r="14" spans="1:40" ht="16.5" x14ac:dyDescent="0.35">
      <c r="A14" s="173" t="str">
        <f>IF(Table2[[#This Row],[Unit ]]="","","2 Bedroom")</f>
        <v>2 Bedroom</v>
      </c>
      <c r="B14" s="166" t="s">
        <v>19</v>
      </c>
      <c r="C14" s="165">
        <v>802</v>
      </c>
      <c r="D14" s="167" t="s">
        <v>29</v>
      </c>
      <c r="E14" s="168">
        <f>IF(Table2[[#This Row],[Unit ]]="","",_xlfn.XLOOKUP(Table2[[#This Row],[Type]],'Muraba Veil Sale Summary'!A:A,'Muraba Veil Sale Summary'!P:P))</f>
        <v>2</v>
      </c>
      <c r="F14" s="169">
        <f>IF(Table2[[#This Row],[Unit ]]="","",_xlfn.XLOOKUP(Table2[[#This Row],[Type]],'Muraba Veil Sale Summary'!$A:$A,'Muraba Veil Sale Summary'!F:F))</f>
        <v>2218.7648507519998</v>
      </c>
      <c r="G14" s="169">
        <f>IF(Table2[[#This Row],[Unit ]]="","",_xlfn.XLOOKUP(Table2[[#This Row],[Type]],'Muraba Veil Sale Summary'!$A:$A,'Muraba Veil Sale Summary'!G:G))</f>
        <v>1619.322680576</v>
      </c>
      <c r="H14" s="169">
        <f t="shared" si="0"/>
        <v>3838.0875313279998</v>
      </c>
      <c r="I14" s="170">
        <f>'Launches Residences'!$U$7</f>
        <v>0.3</v>
      </c>
      <c r="J14" s="169">
        <f>IF(Table2[[#This Row],[Unit ]]="","",F14+(G14*Table2[[#This Row],[Terrace Area]]))</f>
        <v>2704.5616549247998</v>
      </c>
      <c r="K14" s="171">
        <f>_xlfn.XLOOKUP(Table2[[#This Row],[Unit ]],'Launches Residences'!$E$15:$E$71,'Launches Residences'!$I$15:$I$71)</f>
        <v>4801.5718479817406</v>
      </c>
      <c r="L14" s="171">
        <v>12986147.103417825</v>
      </c>
      <c r="M14" s="172">
        <f>Table2[[#This Row],[Price/Sq.ft]]</f>
        <v>4801.5718479817406</v>
      </c>
      <c r="N14" s="8">
        <f>VLOOKUP(Table2[[#This Row],[Unit ]],'[1]Muraba Unit Wise Details '!$C$4:$L$67,10,FALSE)</f>
        <v>12986147.103417825</v>
      </c>
      <c r="O14" s="8">
        <f>Table2[[#This Row],[Column2]]-Table2[[#This Row],[Price]]</f>
        <v>0</v>
      </c>
      <c r="P14" s="8">
        <f>Table2[[#This Row],[Price]]/Table2[[#This Row],[Total Area
(Sq.ft)]]</f>
        <v>3383.4942526504979</v>
      </c>
      <c r="Q14" s="162">
        <f>Table2[[#This Row],[Price]]/Table2[[#This Row],[Sellable Area
(Sq. ft)]]</f>
        <v>4801.5718479817406</v>
      </c>
      <c r="R14" s="209"/>
      <c r="S14" s="183"/>
      <c r="W14" s="11"/>
      <c r="AF14" s="183"/>
      <c r="AG14" s="11"/>
      <c r="AH14" s="10"/>
      <c r="AI14" s="9"/>
      <c r="AJ14" s="9"/>
      <c r="AN14" s="183"/>
    </row>
    <row r="15" spans="1:40" ht="16.5" x14ac:dyDescent="0.35">
      <c r="A15" s="173" t="str">
        <f>IF(Table2[[#This Row],[Unit ]]="","","2 Bedroom")</f>
        <v>2 Bedroom</v>
      </c>
      <c r="B15" s="166" t="s">
        <v>19</v>
      </c>
      <c r="C15" s="165">
        <v>803</v>
      </c>
      <c r="D15" s="167" t="s">
        <v>29</v>
      </c>
      <c r="E15" s="168">
        <f>IF(Table2[[#This Row],[Unit ]]="","",_xlfn.XLOOKUP(Table2[[#This Row],[Type]],'Muraba Veil Sale Summary'!A:A,'Muraba Veil Sale Summary'!P:P))</f>
        <v>2</v>
      </c>
      <c r="F15" s="169">
        <f>IF(Table2[[#This Row],[Unit ]]="","",_xlfn.XLOOKUP(Table2[[#This Row],[Type]],'Muraba Veil Sale Summary'!$A:$A,'Muraba Veil Sale Summary'!F:F))</f>
        <v>2218.7648507519998</v>
      </c>
      <c r="G15" s="169">
        <f>IF(Table2[[#This Row],[Unit ]]="","",_xlfn.XLOOKUP(Table2[[#This Row],[Type]],'Muraba Veil Sale Summary'!$A:$A,'Muraba Veil Sale Summary'!G:G))</f>
        <v>1619.322680576</v>
      </c>
      <c r="H15" s="169">
        <f t="shared" si="0"/>
        <v>3838.0875313279998</v>
      </c>
      <c r="I15" s="170">
        <f>'Launches Residences'!$U$7</f>
        <v>0.3</v>
      </c>
      <c r="J15" s="169">
        <f>IF(Table2[[#This Row],[Unit ]]="","",F15+(G15*Table2[[#This Row],[Terrace Area]]))</f>
        <v>2704.5616549247998</v>
      </c>
      <c r="K15" s="171">
        <f>_xlfn.XLOOKUP(Table2[[#This Row],[Unit ]],'Launches Residences'!$F$15:$F$71,'Launches Residences'!$J$15:$J$71)</f>
        <v>4801.5718479817406</v>
      </c>
      <c r="L15" s="171">
        <v>12986147.103417825</v>
      </c>
      <c r="M15" s="172">
        <f>Table2[[#This Row],[Price/Sq.ft]]</f>
        <v>4801.5718479817406</v>
      </c>
      <c r="N15" s="8">
        <f>VLOOKUP(Table2[[#This Row],[Unit ]],'[1]Muraba Unit Wise Details '!$C$4:$L$67,10,FALSE)</f>
        <v>12986147.103417825</v>
      </c>
      <c r="O15" s="8">
        <f>Table2[[#This Row],[Column2]]-Table2[[#This Row],[Price]]</f>
        <v>0</v>
      </c>
      <c r="P15" s="8">
        <f>Table2[[#This Row],[Price]]/Table2[[#This Row],[Total Area
(Sq.ft)]]</f>
        <v>3383.4942526504979</v>
      </c>
      <c r="Q15" s="162">
        <f>Table2[[#This Row],[Price]]/Table2[[#This Row],[Sellable Area
(Sq. ft)]]</f>
        <v>4801.5718479817406</v>
      </c>
      <c r="R15" s="209"/>
      <c r="S15" s="183"/>
      <c r="W15" s="11"/>
      <c r="AF15" s="183"/>
      <c r="AG15" s="11"/>
      <c r="AH15" s="10"/>
      <c r="AI15" s="9"/>
      <c r="AJ15" s="9"/>
      <c r="AN15" s="183"/>
    </row>
    <row r="16" spans="1:40" ht="16.5" x14ac:dyDescent="0.35">
      <c r="A16" s="157" t="str">
        <f>IF(Table2[[#This Row],[Unit ]]="","","2 Bedroom")</f>
        <v>2 Bedroom</v>
      </c>
      <c r="B16" s="158" t="s">
        <v>21</v>
      </c>
      <c r="C16" s="159">
        <v>902</v>
      </c>
      <c r="D16" s="160" t="s">
        <v>32</v>
      </c>
      <c r="E16" s="161">
        <f>IF(Table2[[#This Row],[Unit ]]="","",_xlfn.XLOOKUP(Table2[[#This Row],[Type]],'Muraba Veil Sale Summary'!A:A,'Muraba Veil Sale Summary'!P:P))</f>
        <v>2</v>
      </c>
      <c r="F16" s="162">
        <f>IF(Table2[[#This Row],[Unit ]]="","",_xlfn.XLOOKUP(Table2[[#This Row],[Type]],'Muraba Veil Sale Summary'!$A:$A,'Muraba Veil Sale Summary'!F:F))</f>
        <v>2218.7648507519998</v>
      </c>
      <c r="G16" s="162">
        <f>IF(Table2[[#This Row],[Unit ]]="","",_xlfn.XLOOKUP(Table2[[#This Row],[Type]],'Muraba Veil Sale Summary'!$A:$A,'Muraba Veil Sale Summary'!G:G))</f>
        <v>1619.322680576</v>
      </c>
      <c r="H16" s="162">
        <f t="shared" si="0"/>
        <v>3838.0875313279998</v>
      </c>
      <c r="I16" s="163">
        <f>'Launches Residences'!$U$7</f>
        <v>0.3</v>
      </c>
      <c r="J16" s="162">
        <f>IF(Table2[[#This Row],[Unit ]]="","",F16+(G16*Table2[[#This Row],[Terrace Area]]))</f>
        <v>2704.5616549247998</v>
      </c>
      <c r="K16" s="8">
        <f>_xlfn.XLOOKUP(Table2[[#This Row],[Unit ]],'Launches Residences'!$E$15:$E$71,'Launches Residences'!$I$15:$I$71)</f>
        <v>5600</v>
      </c>
      <c r="L16" s="8">
        <f t="shared" ref="L16:L17" si="1">IFERROR(J16*K16,0)</f>
        <v>15145545.267578879</v>
      </c>
      <c r="M16" s="3">
        <f>Table2[[#This Row],[Price/Sq.ft]]</f>
        <v>5600</v>
      </c>
      <c r="N16" s="8">
        <f>VLOOKUP(Table2[[#This Row],[Unit ]],'[1]Muraba Unit Wise Details '!$C$4:$L$67,10,FALSE)</f>
        <v>15145545.267578879</v>
      </c>
      <c r="O16" s="8">
        <f>Table2[[#This Row],[Column2]]-Table2[[#This Row],[Price]]</f>
        <v>0</v>
      </c>
      <c r="P16" s="8">
        <f>Table2[[#This Row],[Price]]/Table2[[#This Row],[Total Area
(Sq.ft)]]</f>
        <v>3946.117732843481</v>
      </c>
      <c r="Q16" s="162">
        <f>Table2[[#This Row],[Price]]/Table2[[#This Row],[Sellable Area
(Sq. ft)]]</f>
        <v>5600</v>
      </c>
      <c r="R16" s="209"/>
      <c r="S16" s="183"/>
      <c r="W16" s="11"/>
      <c r="AF16" s="183"/>
      <c r="AG16" s="11"/>
      <c r="AH16" s="10"/>
      <c r="AI16" s="9"/>
      <c r="AJ16" s="9"/>
      <c r="AN16" s="183"/>
    </row>
    <row r="17" spans="1:40" ht="16.5" x14ac:dyDescent="0.35">
      <c r="A17" s="157" t="str">
        <f>IF(Table2[[#This Row],[Unit ]]="","","2 Bedroom")</f>
        <v>2 Bedroom</v>
      </c>
      <c r="B17" s="158" t="s">
        <v>21</v>
      </c>
      <c r="C17" s="159">
        <v>903</v>
      </c>
      <c r="D17" s="160" t="s">
        <v>32</v>
      </c>
      <c r="E17" s="161">
        <f>IF(Table2[[#This Row],[Unit ]]="","",_xlfn.XLOOKUP(Table2[[#This Row],[Type]],'Muraba Veil Sale Summary'!A:A,'Muraba Veil Sale Summary'!P:P))</f>
        <v>2</v>
      </c>
      <c r="F17" s="162">
        <f>IF(Table2[[#This Row],[Unit ]]="","",_xlfn.XLOOKUP(Table2[[#This Row],[Type]],'Muraba Veil Sale Summary'!$A:$A,'Muraba Veil Sale Summary'!F:F))</f>
        <v>2218.7648507519998</v>
      </c>
      <c r="G17" s="162">
        <f>IF(Table2[[#This Row],[Unit ]]="","",_xlfn.XLOOKUP(Table2[[#This Row],[Type]],'Muraba Veil Sale Summary'!$A:$A,'Muraba Veil Sale Summary'!G:G))</f>
        <v>1619.322680576</v>
      </c>
      <c r="H17" s="162">
        <f t="shared" si="0"/>
        <v>3838.0875313279998</v>
      </c>
      <c r="I17" s="163">
        <f>'Launches Residences'!$U$7</f>
        <v>0.3</v>
      </c>
      <c r="J17" s="162">
        <f>IF(Table2[[#This Row],[Unit ]]="","",F17+(G17*Table2[[#This Row],[Terrace Area]]))</f>
        <v>2704.5616549247998</v>
      </c>
      <c r="K17" s="8">
        <f>_xlfn.XLOOKUP(Table2[[#This Row],[Unit ]],'Launches Residences'!$F$15:$F$71,'Launches Residences'!$J$15:$J$71)</f>
        <v>5600</v>
      </c>
      <c r="L17" s="8">
        <f t="shared" si="1"/>
        <v>15145545.267578879</v>
      </c>
      <c r="M17" s="3">
        <f>Table2[[#This Row],[Price/Sq.ft]]</f>
        <v>5600</v>
      </c>
      <c r="N17" s="8">
        <f>VLOOKUP(Table2[[#This Row],[Unit ]],'[1]Muraba Unit Wise Details '!$C$4:$L$67,10,FALSE)</f>
        <v>15145545.267578879</v>
      </c>
      <c r="O17" s="8">
        <f>Table2[[#This Row],[Column2]]-Table2[[#This Row],[Price]]</f>
        <v>0</v>
      </c>
      <c r="P17" s="8">
        <f>Table2[[#This Row],[Price]]/Table2[[#This Row],[Total Area
(Sq.ft)]]</f>
        <v>3946.117732843481</v>
      </c>
      <c r="Q17" s="162">
        <f>Table2[[#This Row],[Price]]/Table2[[#This Row],[Sellable Area
(Sq. ft)]]</f>
        <v>5600</v>
      </c>
      <c r="R17" s="209"/>
      <c r="S17" s="183"/>
      <c r="W17" s="11"/>
      <c r="AF17" s="183"/>
      <c r="AG17" s="11"/>
      <c r="AH17" s="10"/>
      <c r="AI17" s="9"/>
      <c r="AJ17" s="9"/>
      <c r="AN17" s="183"/>
    </row>
    <row r="18" spans="1:40" ht="16.5" x14ac:dyDescent="0.35">
      <c r="A18" s="173" t="str">
        <f>IF(Table2[[#This Row],[Unit ]]="","","2 Bedroom")</f>
        <v>2 Bedroom</v>
      </c>
      <c r="B18" s="166" t="s">
        <v>19</v>
      </c>
      <c r="C18" s="165">
        <v>1102</v>
      </c>
      <c r="D18" s="167" t="s">
        <v>35</v>
      </c>
      <c r="E18" s="168">
        <f>IF(Table2[[#This Row],[Unit ]]="","",_xlfn.XLOOKUP(Table2[[#This Row],[Type]],'Muraba Veil Sale Summary'!A:A,'Muraba Veil Sale Summary'!P:P))</f>
        <v>2</v>
      </c>
      <c r="F18" s="169">
        <f>IF(Table2[[#This Row],[Unit ]]="","",_xlfn.XLOOKUP(Table2[[#This Row],[Type]],'Muraba Veil Sale Summary'!$A:$A,'Muraba Veil Sale Summary'!F:F))</f>
        <v>2218.7648507519998</v>
      </c>
      <c r="G18" s="169">
        <f>IF(Table2[[#This Row],[Unit ]]="","",_xlfn.XLOOKUP(Table2[[#This Row],[Type]],'Muraba Veil Sale Summary'!$A:$A,'Muraba Veil Sale Summary'!G:G))</f>
        <v>1619.322680576</v>
      </c>
      <c r="H18" s="169">
        <f t="shared" si="0"/>
        <v>3838.0875313279998</v>
      </c>
      <c r="I18" s="170">
        <f>'Launches Residences'!$U$7</f>
        <v>0.3</v>
      </c>
      <c r="J18" s="169">
        <f>IF(Table2[[#This Row],[Unit ]]="","",F18+(G18*Table2[[#This Row],[Terrace Area]]))</f>
        <v>2704.5616549247998</v>
      </c>
      <c r="K18" s="171">
        <f>_xlfn.XLOOKUP(Table2[[#This Row],[Unit ]],'Launches Residences'!$E$15:$E$71,'Launches Residences'!$I$15:$I$71)</f>
        <v>5050</v>
      </c>
      <c r="L18" s="171">
        <v>13658036.357370239</v>
      </c>
      <c r="M18" s="172">
        <f>Table2[[#This Row],[Price/Sq.ft]]</f>
        <v>5050</v>
      </c>
      <c r="N18" s="8">
        <f>VLOOKUP(Table2[[#This Row],[Unit ]],'[1]Muraba Unit Wise Details '!$C$4:$L$67,10,FALSE)</f>
        <v>13658036.357370239</v>
      </c>
      <c r="O18" s="8">
        <f>Table2[[#This Row],[Column2]]-Table2[[#This Row],[Price]]</f>
        <v>0</v>
      </c>
      <c r="P18" s="8">
        <f>Table2[[#This Row],[Price]]/Table2[[#This Row],[Total Area
(Sq.ft)]]</f>
        <v>3558.5525983677817</v>
      </c>
      <c r="Q18" s="162">
        <f>Table2[[#This Row],[Price]]/Table2[[#This Row],[Sellable Area
(Sq. ft)]]</f>
        <v>5050</v>
      </c>
      <c r="R18" s="209"/>
      <c r="S18" s="183"/>
      <c r="AF18" s="183"/>
      <c r="AG18" s="11"/>
      <c r="AH18" s="10"/>
      <c r="AI18" s="9"/>
      <c r="AJ18" s="9"/>
      <c r="AN18" s="183"/>
    </row>
    <row r="19" spans="1:40" ht="16.5" x14ac:dyDescent="0.35">
      <c r="A19" s="157" t="str">
        <f>IF(Table2[[#This Row],[Unit ]]="","","2 Bedroom")</f>
        <v>2 Bedroom</v>
      </c>
      <c r="B19" s="158" t="s">
        <v>36</v>
      </c>
      <c r="C19" s="159">
        <v>1103</v>
      </c>
      <c r="D19" s="160" t="s">
        <v>35</v>
      </c>
      <c r="E19" s="161">
        <f>IF(Table2[[#This Row],[Unit ]]="","",_xlfn.XLOOKUP(Table2[[#This Row],[Type]],'Muraba Veil Sale Summary'!A:A,'Muraba Veil Sale Summary'!P:P))</f>
        <v>2</v>
      </c>
      <c r="F19" s="162">
        <f>IF(Table2[[#This Row],[Unit ]]="","",_xlfn.XLOOKUP(Table2[[#This Row],[Type]],'Muraba Veil Sale Summary'!$A:$A,'Muraba Veil Sale Summary'!F:F))</f>
        <v>2218.7648507519998</v>
      </c>
      <c r="G19" s="162">
        <f>IF(Table2[[#This Row],[Unit ]]="","",_xlfn.XLOOKUP(Table2[[#This Row],[Type]],'Muraba Veil Sale Summary'!$A:$A,'Muraba Veil Sale Summary'!G:G))</f>
        <v>1619.322680576</v>
      </c>
      <c r="H19" s="162">
        <f t="shared" si="0"/>
        <v>3838.0875313279998</v>
      </c>
      <c r="I19" s="163">
        <f>'Launches Residences'!$U$7</f>
        <v>0.3</v>
      </c>
      <c r="J19" s="162">
        <f>IF(Table2[[#This Row],[Unit ]]="","",F19+(G19*Table2[[#This Row],[Terrace Area]]))</f>
        <v>2704.5616549247998</v>
      </c>
      <c r="K19" s="8">
        <f>_xlfn.XLOOKUP(Table2[[#This Row],[Unit ]],'Launches Residences'!$F$15:$F$71,'Launches Residences'!$J$15:$J$71)</f>
        <v>5050</v>
      </c>
      <c r="L19" s="8">
        <f t="shared" ref="L19:L29" si="2">IFERROR(J19*K19,0)</f>
        <v>13658036.357370239</v>
      </c>
      <c r="M19" s="3">
        <f>Table2[[#This Row],[Price/Sq.ft]]</f>
        <v>5050</v>
      </c>
      <c r="N19" s="8">
        <f>VLOOKUP(Table2[[#This Row],[Unit ]],'[1]Muraba Unit Wise Details '!$C$4:$L$67,10,FALSE)</f>
        <v>15551229.515817599</v>
      </c>
      <c r="O19" s="8">
        <f>Table2[[#This Row],[Column2]]-Table2[[#This Row],[Price]]</f>
        <v>1893193.1584473606</v>
      </c>
      <c r="P19" s="8">
        <f>Table2[[#This Row],[Price]]/Table2[[#This Row],[Total Area
(Sq.ft)]]</f>
        <v>3558.5525983677817</v>
      </c>
      <c r="Q19" s="162">
        <f>Table2[[#This Row],[Price]]/Table2[[#This Row],[Sellable Area
(Sq. ft)]]</f>
        <v>5050</v>
      </c>
      <c r="R19" s="209"/>
      <c r="S19" s="183"/>
      <c r="AF19" s="183"/>
      <c r="AG19" s="11"/>
      <c r="AH19" s="10"/>
      <c r="AI19" s="9"/>
      <c r="AJ19" s="9"/>
      <c r="AN19" s="183"/>
    </row>
    <row r="20" spans="1:40" ht="16.5" x14ac:dyDescent="0.35">
      <c r="A20" s="157" t="str">
        <f>IF(Table2[[#This Row],[Unit ]]="","","2 Bedroom")</f>
        <v>2 Bedroom</v>
      </c>
      <c r="B20" s="158" t="s">
        <v>21</v>
      </c>
      <c r="C20" s="159">
        <v>1202</v>
      </c>
      <c r="D20" s="160" t="s">
        <v>37</v>
      </c>
      <c r="E20" s="161">
        <f>IF(Table2[[#This Row],[Unit ]]="","",_xlfn.XLOOKUP(Table2[[#This Row],[Type]],'Muraba Veil Sale Summary'!A:A,'Muraba Veil Sale Summary'!P:P))</f>
        <v>2</v>
      </c>
      <c r="F20" s="162">
        <f>IF(Table2[[#This Row],[Unit ]]="","",_xlfn.XLOOKUP(Table2[[#This Row],[Type]],'Muraba Veil Sale Summary'!$A:$A,'Muraba Veil Sale Summary'!F:F))</f>
        <v>2218.7648507519998</v>
      </c>
      <c r="G20" s="162">
        <f>IF(Table2[[#This Row],[Unit ]]="","",_xlfn.XLOOKUP(Table2[[#This Row],[Type]],'Muraba Veil Sale Summary'!$A:$A,'Muraba Veil Sale Summary'!G:G))</f>
        <v>1619.322680576</v>
      </c>
      <c r="H20" s="162">
        <f t="shared" si="0"/>
        <v>3838.0875313279998</v>
      </c>
      <c r="I20" s="163">
        <f>'Launches Residences'!$U$7</f>
        <v>0.3</v>
      </c>
      <c r="J20" s="162">
        <f>IF(Table2[[#This Row],[Unit ]]="","",F20+(G20*Table2[[#This Row],[Terrace Area]]))</f>
        <v>2704.5616549247998</v>
      </c>
      <c r="K20" s="8">
        <f>_xlfn.XLOOKUP(Table2[[#This Row],[Unit ]],'Launches Residences'!$E$15:$E$71,'Launches Residences'!$I$15:$I$71)</f>
        <v>5900</v>
      </c>
      <c r="L20" s="8">
        <f t="shared" si="2"/>
        <v>15956913.764056319</v>
      </c>
      <c r="M20" s="3">
        <f>Table2[[#This Row],[Price/Sq.ft]]</f>
        <v>5900</v>
      </c>
      <c r="N20" s="8">
        <f>VLOOKUP(Table2[[#This Row],[Unit ]],'[1]Muraba Unit Wise Details '!$C$4:$L$67,10,FALSE)</f>
        <v>15956913.764056319</v>
      </c>
      <c r="O20" s="8">
        <f>Table2[[#This Row],[Column2]]-Table2[[#This Row],[Price]]</f>
        <v>0</v>
      </c>
      <c r="P20" s="8">
        <f>Table2[[#This Row],[Price]]/Table2[[#This Row],[Total Area
(Sq.ft)]]</f>
        <v>4157.5168971029534</v>
      </c>
      <c r="Q20" s="162">
        <f>Table2[[#This Row],[Price]]/Table2[[#This Row],[Sellable Area
(Sq. ft)]]</f>
        <v>5900</v>
      </c>
      <c r="R20" s="209"/>
      <c r="S20" s="183"/>
      <c r="AF20" s="183"/>
      <c r="AG20" s="11"/>
      <c r="AH20" s="10"/>
      <c r="AI20" s="9"/>
      <c r="AJ20" s="9"/>
      <c r="AN20" s="183"/>
    </row>
    <row r="21" spans="1:40" ht="16.5" x14ac:dyDescent="0.35">
      <c r="A21" s="157" t="str">
        <f>IF(Table2[[#This Row],[Unit ]]="","","2 Bedroom")</f>
        <v>2 Bedroom</v>
      </c>
      <c r="B21" s="158" t="s">
        <v>21</v>
      </c>
      <c r="C21" s="159">
        <v>1203</v>
      </c>
      <c r="D21" s="160" t="s">
        <v>37</v>
      </c>
      <c r="E21" s="161">
        <f>IF(Table2[[#This Row],[Unit ]]="","",_xlfn.XLOOKUP(Table2[[#This Row],[Type]],'Muraba Veil Sale Summary'!A:A,'Muraba Veil Sale Summary'!P:P))</f>
        <v>2</v>
      </c>
      <c r="F21" s="162">
        <f>IF(Table2[[#This Row],[Unit ]]="","",_xlfn.XLOOKUP(Table2[[#This Row],[Type]],'Muraba Veil Sale Summary'!$A:$A,'Muraba Veil Sale Summary'!F:F))</f>
        <v>2218.7648507519998</v>
      </c>
      <c r="G21" s="162">
        <f>IF(Table2[[#This Row],[Unit ]]="","",_xlfn.XLOOKUP(Table2[[#This Row],[Type]],'Muraba Veil Sale Summary'!$A:$A,'Muraba Veil Sale Summary'!G:G))</f>
        <v>1619.322680576</v>
      </c>
      <c r="H21" s="162">
        <f t="shared" si="0"/>
        <v>3838.0875313279998</v>
      </c>
      <c r="I21" s="163">
        <f>'Launches Residences'!$U$7</f>
        <v>0.3</v>
      </c>
      <c r="J21" s="162">
        <f>IF(Table2[[#This Row],[Unit ]]="","",F21+(G21*Table2[[#This Row],[Terrace Area]]))</f>
        <v>2704.5616549247998</v>
      </c>
      <c r="K21" s="8">
        <f>_xlfn.XLOOKUP(Table2[[#This Row],[Unit ]],'Launches Residences'!$F$15:$F$71,'Launches Residences'!$J$15:$J$71)</f>
        <v>5900</v>
      </c>
      <c r="L21" s="8">
        <f t="shared" si="2"/>
        <v>15956913.764056319</v>
      </c>
      <c r="M21" s="3">
        <f>Table2[[#This Row],[Price/Sq.ft]]</f>
        <v>5900</v>
      </c>
      <c r="N21" s="8">
        <f>VLOOKUP(Table2[[#This Row],[Unit ]],'[1]Muraba Unit Wise Details '!$C$4:$L$67,10,FALSE)</f>
        <v>15956913.764056319</v>
      </c>
      <c r="O21" s="8">
        <f>Table2[[#This Row],[Column2]]-Table2[[#This Row],[Price]]</f>
        <v>0</v>
      </c>
      <c r="P21" s="8">
        <f>Table2[[#This Row],[Price]]/Table2[[#This Row],[Total Area
(Sq.ft)]]</f>
        <v>4157.5168971029534</v>
      </c>
      <c r="Q21" s="162">
        <f>Table2[[#This Row],[Price]]/Table2[[#This Row],[Sellable Area
(Sq. ft)]]</f>
        <v>5900</v>
      </c>
      <c r="R21" s="209"/>
      <c r="S21" s="183"/>
      <c r="AF21" s="183"/>
      <c r="AG21" s="11"/>
      <c r="AH21" s="10"/>
      <c r="AI21" s="9"/>
      <c r="AJ21" s="9"/>
      <c r="AN21" s="183"/>
    </row>
    <row r="22" spans="1:40" ht="16.5" x14ac:dyDescent="0.35">
      <c r="A22" s="157" t="str">
        <f>IF(Table2[[#This Row],[Unit ]]="","","2 Bedroom")</f>
        <v>2 Bedroom</v>
      </c>
      <c r="B22" s="158" t="s">
        <v>21</v>
      </c>
      <c r="C22" s="159">
        <v>1302</v>
      </c>
      <c r="D22" s="160" t="s">
        <v>38</v>
      </c>
      <c r="E22" s="161">
        <f>IF(Table2[[#This Row],[Unit ]]="","",_xlfn.XLOOKUP(Table2[[#This Row],[Type]],'Muraba Veil Sale Summary'!A:A,'Muraba Veil Sale Summary'!P:P))</f>
        <v>2</v>
      </c>
      <c r="F22" s="162">
        <f>IF(Table2[[#This Row],[Unit ]]="","",_xlfn.XLOOKUP(Table2[[#This Row],[Type]],'Muraba Veil Sale Summary'!$A:$A,'Muraba Veil Sale Summary'!F:F))</f>
        <v>2218.7648507519998</v>
      </c>
      <c r="G22" s="162">
        <f>IF(Table2[[#This Row],[Unit ]]="","",_xlfn.XLOOKUP(Table2[[#This Row],[Type]],'Muraba Veil Sale Summary'!$A:$A,'Muraba Veil Sale Summary'!G:G))</f>
        <v>1619.322680576</v>
      </c>
      <c r="H22" s="162">
        <f t="shared" si="0"/>
        <v>3838.0875313279998</v>
      </c>
      <c r="I22" s="163">
        <f>'Launches Residences'!$U$7</f>
        <v>0.3</v>
      </c>
      <c r="J22" s="162">
        <f>IF(Table2[[#This Row],[Unit ]]="","",F22+(G22*Table2[[#This Row],[Terrace Area]]))</f>
        <v>2704.5616549247998</v>
      </c>
      <c r="K22" s="8">
        <f>_xlfn.XLOOKUP(Table2[[#This Row],[Unit ]],'Launches Residences'!$E$15:$E$71,'Launches Residences'!$I$15:$I$71)</f>
        <v>6050</v>
      </c>
      <c r="L22" s="8">
        <f t="shared" si="2"/>
        <v>16362598.012295039</v>
      </c>
      <c r="M22" s="3">
        <f>Table2[[#This Row],[Price/Sq.ft]]</f>
        <v>6050</v>
      </c>
      <c r="N22" s="8">
        <f>VLOOKUP(Table2[[#This Row],[Unit ]],'[1]Muraba Unit Wise Details '!$C$4:$L$67,10,FALSE)</f>
        <v>16362598.012295039</v>
      </c>
      <c r="O22" s="8">
        <f>Table2[[#This Row],[Column2]]-Table2[[#This Row],[Price]]</f>
        <v>0</v>
      </c>
      <c r="P22" s="8">
        <f>Table2[[#This Row],[Price]]/Table2[[#This Row],[Total Area
(Sq.ft)]]</f>
        <v>4263.2164792326894</v>
      </c>
      <c r="Q22" s="162">
        <f>Table2[[#This Row],[Price]]/Table2[[#This Row],[Sellable Area
(Sq. ft)]]</f>
        <v>6050</v>
      </c>
      <c r="R22" s="209"/>
      <c r="S22" s="183"/>
      <c r="AF22" s="183"/>
      <c r="AG22" s="11"/>
      <c r="AH22" s="10"/>
      <c r="AI22" s="9"/>
      <c r="AJ22" s="9"/>
      <c r="AN22" s="183"/>
    </row>
    <row r="23" spans="1:40" ht="16.5" x14ac:dyDescent="0.35">
      <c r="A23" s="157" t="str">
        <f>IF(Table2[[#This Row],[Unit ]]="","","2 Bedroom")</f>
        <v>2 Bedroom</v>
      </c>
      <c r="B23" s="158" t="s">
        <v>21</v>
      </c>
      <c r="C23" s="159">
        <v>1303</v>
      </c>
      <c r="D23" s="160" t="s">
        <v>38</v>
      </c>
      <c r="E23" s="161">
        <f>IF(Table2[[#This Row],[Unit ]]="","",_xlfn.XLOOKUP(Table2[[#This Row],[Type]],'Muraba Veil Sale Summary'!A:A,'Muraba Veil Sale Summary'!P:P))</f>
        <v>2</v>
      </c>
      <c r="F23" s="162">
        <f>IF(Table2[[#This Row],[Unit ]]="","",_xlfn.XLOOKUP(Table2[[#This Row],[Type]],'Muraba Veil Sale Summary'!$A:$A,'Muraba Veil Sale Summary'!F:F))</f>
        <v>2218.7648507519998</v>
      </c>
      <c r="G23" s="162">
        <f>IF(Table2[[#This Row],[Unit ]]="","",_xlfn.XLOOKUP(Table2[[#This Row],[Type]],'Muraba Veil Sale Summary'!$A:$A,'Muraba Veil Sale Summary'!G:G))</f>
        <v>1619.322680576</v>
      </c>
      <c r="H23" s="162">
        <f t="shared" si="0"/>
        <v>3838.0875313279998</v>
      </c>
      <c r="I23" s="163">
        <f>'Launches Residences'!$U$7</f>
        <v>0.3</v>
      </c>
      <c r="J23" s="162">
        <f>IF(Table2[[#This Row],[Unit ]]="","",F23+(G23*Table2[[#This Row],[Terrace Area]]))</f>
        <v>2704.5616549247998</v>
      </c>
      <c r="K23" s="8">
        <f>_xlfn.XLOOKUP(Table2[[#This Row],[Unit ]],'Launches Residences'!$F$15:$F$71,'Launches Residences'!$J$15:$J$71)</f>
        <v>6050</v>
      </c>
      <c r="L23" s="8">
        <f t="shared" si="2"/>
        <v>16362598.012295039</v>
      </c>
      <c r="M23" s="3">
        <f>Table2[[#This Row],[Price/Sq.ft]]</f>
        <v>6050</v>
      </c>
      <c r="N23" s="8">
        <f>VLOOKUP(Table2[[#This Row],[Unit ]],'[1]Muraba Unit Wise Details '!$C$4:$L$67,10,FALSE)</f>
        <v>16362598.012295039</v>
      </c>
      <c r="O23" s="8">
        <f>Table2[[#This Row],[Column2]]-Table2[[#This Row],[Price]]</f>
        <v>0</v>
      </c>
      <c r="P23" s="8">
        <f>Table2[[#This Row],[Price]]/Table2[[#This Row],[Total Area
(Sq.ft)]]</f>
        <v>4263.2164792326894</v>
      </c>
      <c r="Q23" s="162">
        <f>Table2[[#This Row],[Price]]/Table2[[#This Row],[Sellable Area
(Sq. ft)]]</f>
        <v>6050</v>
      </c>
      <c r="R23" s="209"/>
      <c r="S23" s="183"/>
      <c r="AF23" s="183"/>
      <c r="AG23" s="11"/>
      <c r="AH23" s="10"/>
      <c r="AI23" s="9"/>
      <c r="AJ23" s="9"/>
      <c r="AN23" s="183"/>
    </row>
    <row r="24" spans="1:40" ht="16.5" x14ac:dyDescent="0.35">
      <c r="A24" s="157" t="str">
        <f>IF(Table2[[#This Row],[Unit ]]="","","2 Bedroom")</f>
        <v>2 Bedroom</v>
      </c>
      <c r="B24" s="158" t="s">
        <v>21</v>
      </c>
      <c r="C24" s="159">
        <v>1402</v>
      </c>
      <c r="D24" s="160" t="s">
        <v>39</v>
      </c>
      <c r="E24" s="161">
        <f>IF(Table2[[#This Row],[Unit ]]="","",_xlfn.XLOOKUP(Table2[[#This Row],[Type]],'Muraba Veil Sale Summary'!A:A,'Muraba Veil Sale Summary'!P:P))</f>
        <v>2</v>
      </c>
      <c r="F24" s="162">
        <f>IF(Table2[[#This Row],[Unit ]]="","",_xlfn.XLOOKUP(Table2[[#This Row],[Type]],'Muraba Veil Sale Summary'!$A:$A,'Muraba Veil Sale Summary'!F:F))</f>
        <v>2218.7648507519998</v>
      </c>
      <c r="G24" s="162">
        <f>IF(Table2[[#This Row],[Unit ]]="","",_xlfn.XLOOKUP(Table2[[#This Row],[Type]],'Muraba Veil Sale Summary'!$A:$A,'Muraba Veil Sale Summary'!G:G))</f>
        <v>1619.322680576</v>
      </c>
      <c r="H24" s="162">
        <f t="shared" si="0"/>
        <v>3838.0875313279998</v>
      </c>
      <c r="I24" s="163">
        <f>'Launches Residences'!$U$7</f>
        <v>0.3</v>
      </c>
      <c r="J24" s="162">
        <f>IF(Table2[[#This Row],[Unit ]]="","",F24+(G24*Table2[[#This Row],[Terrace Area]]))</f>
        <v>2704.5616549247998</v>
      </c>
      <c r="K24" s="8">
        <f>_xlfn.XLOOKUP(Table2[[#This Row],[Unit ]],'Launches Residences'!$E$15:$E$71,'Launches Residences'!$I$15:$I$71)</f>
        <v>6200</v>
      </c>
      <c r="L24" s="8">
        <f t="shared" si="2"/>
        <v>16768282.260533759</v>
      </c>
      <c r="M24" s="3">
        <f>Table2[[#This Row],[Price/Sq.ft]]</f>
        <v>6200</v>
      </c>
      <c r="N24" s="8">
        <f>VLOOKUP(Table2[[#This Row],[Unit ]],'[1]Muraba Unit Wise Details '!$C$4:$L$67,10,FALSE)</f>
        <v>16768282.260533759</v>
      </c>
      <c r="O24" s="8">
        <f>Table2[[#This Row],[Column2]]-Table2[[#This Row],[Price]]</f>
        <v>0</v>
      </c>
      <c r="P24" s="8">
        <f>Table2[[#This Row],[Price]]/Table2[[#This Row],[Total Area
(Sq.ft)]]</f>
        <v>4368.9160613624254</v>
      </c>
      <c r="Q24" s="162">
        <f>Table2[[#This Row],[Price]]/Table2[[#This Row],[Sellable Area
(Sq. ft)]]</f>
        <v>6200</v>
      </c>
      <c r="R24" s="209"/>
      <c r="S24" s="183"/>
      <c r="AF24" s="183"/>
      <c r="AG24" s="11"/>
      <c r="AH24" s="10"/>
      <c r="AI24" s="9"/>
      <c r="AJ24" s="9"/>
      <c r="AN24" s="183"/>
    </row>
    <row r="25" spans="1:40" ht="16.5" x14ac:dyDescent="0.35">
      <c r="A25" s="157" t="str">
        <f>IF(Table2[[#This Row],[Unit ]]="","","2 Bedroom")</f>
        <v>2 Bedroom</v>
      </c>
      <c r="B25" s="158" t="s">
        <v>21</v>
      </c>
      <c r="C25" s="159">
        <v>1403</v>
      </c>
      <c r="D25" s="160" t="s">
        <v>39</v>
      </c>
      <c r="E25" s="161">
        <f>IF(Table2[[#This Row],[Unit ]]="","",_xlfn.XLOOKUP(Table2[[#This Row],[Type]],'Muraba Veil Sale Summary'!A:A,'Muraba Veil Sale Summary'!P:P))</f>
        <v>2</v>
      </c>
      <c r="F25" s="162">
        <f>IF(Table2[[#This Row],[Unit ]]="","",_xlfn.XLOOKUP(Table2[[#This Row],[Type]],'Muraba Veil Sale Summary'!$A:$A,'Muraba Veil Sale Summary'!F:F))</f>
        <v>2218.7648507519998</v>
      </c>
      <c r="G25" s="162">
        <f>IF(Table2[[#This Row],[Unit ]]="","",_xlfn.XLOOKUP(Table2[[#This Row],[Type]],'Muraba Veil Sale Summary'!$A:$A,'Muraba Veil Sale Summary'!G:G))</f>
        <v>1619.322680576</v>
      </c>
      <c r="H25" s="162">
        <f t="shared" si="0"/>
        <v>3838.0875313279998</v>
      </c>
      <c r="I25" s="163">
        <f>'Launches Residences'!$U$7</f>
        <v>0.3</v>
      </c>
      <c r="J25" s="162">
        <f>IF(Table2[[#This Row],[Unit ]]="","",F25+(G25*Table2[[#This Row],[Terrace Area]]))</f>
        <v>2704.5616549247998</v>
      </c>
      <c r="K25" s="8">
        <f>_xlfn.XLOOKUP(Table2[[#This Row],[Unit ]],'Launches Residences'!$F$15:$F$71,'Launches Residences'!$J$15:$J$71)</f>
        <v>6200</v>
      </c>
      <c r="L25" s="8">
        <f t="shared" si="2"/>
        <v>16768282.260533759</v>
      </c>
      <c r="M25" s="3">
        <f>Table2[[#This Row],[Price/Sq.ft]]</f>
        <v>6200</v>
      </c>
      <c r="N25" s="8">
        <f>VLOOKUP(Table2[[#This Row],[Unit ]],'[1]Muraba Unit Wise Details '!$C$4:$L$67,10,FALSE)</f>
        <v>16768282.260533759</v>
      </c>
      <c r="O25" s="8">
        <f>Table2[[#This Row],[Column2]]-Table2[[#This Row],[Price]]</f>
        <v>0</v>
      </c>
      <c r="P25" s="8">
        <f>Table2[[#This Row],[Price]]/Table2[[#This Row],[Total Area
(Sq.ft)]]</f>
        <v>4368.9160613624254</v>
      </c>
      <c r="Q25" s="162">
        <f>Table2[[#This Row],[Price]]/Table2[[#This Row],[Sellable Area
(Sq. ft)]]</f>
        <v>6200</v>
      </c>
      <c r="R25" s="209"/>
      <c r="S25" s="183"/>
      <c r="AF25" s="183"/>
      <c r="AG25" s="11"/>
      <c r="AH25" s="10"/>
      <c r="AI25" s="9"/>
      <c r="AJ25" s="9"/>
      <c r="AN25" s="183"/>
    </row>
    <row r="26" spans="1:40" ht="16.5" x14ac:dyDescent="0.35">
      <c r="A26" s="157" t="str">
        <f>IF(Table2[[#This Row],[Unit ]]="","","2 Bedroom")</f>
        <v>2 Bedroom</v>
      </c>
      <c r="B26" s="158" t="s">
        <v>36</v>
      </c>
      <c r="C26" s="159">
        <v>1502</v>
      </c>
      <c r="D26" s="160" t="s">
        <v>40</v>
      </c>
      <c r="E26" s="161">
        <f>IF(Table2[[#This Row],[Unit ]]="","",_xlfn.XLOOKUP(Table2[[#This Row],[Type]],'Muraba Veil Sale Summary'!A:A,'Muraba Veil Sale Summary'!P:P))</f>
        <v>2</v>
      </c>
      <c r="F26" s="162">
        <f>IF(Table2[[#This Row],[Unit ]]="","",_xlfn.XLOOKUP(Table2[[#This Row],[Type]],'Muraba Veil Sale Summary'!$A:$A,'Muraba Veil Sale Summary'!F:F))</f>
        <v>2218.7648507519998</v>
      </c>
      <c r="G26" s="162">
        <f>IF(Table2[[#This Row],[Unit ]]="","",_xlfn.XLOOKUP(Table2[[#This Row],[Type]],'Muraba Veil Sale Summary'!$A:$A,'Muraba Veil Sale Summary'!G:G))</f>
        <v>1619.322680576</v>
      </c>
      <c r="H26" s="162">
        <f t="shared" si="0"/>
        <v>3838.0875313279998</v>
      </c>
      <c r="I26" s="163">
        <f>'Launches Residences'!$U$7</f>
        <v>0.3</v>
      </c>
      <c r="J26" s="162">
        <f>IF(Table2[[#This Row],[Unit ]]="","",F26+(G26*Table2[[#This Row],[Terrace Area]]))</f>
        <v>2704.5616549247998</v>
      </c>
      <c r="K26" s="8">
        <f>_xlfn.XLOOKUP(Table2[[#This Row],[Unit ]],'Launches Residences'!$E$15:$E$71,'Launches Residences'!$I$15:$I$71)</f>
        <v>6350</v>
      </c>
      <c r="L26" s="8">
        <f t="shared" si="2"/>
        <v>17173966.508772478</v>
      </c>
      <c r="M26" s="3">
        <f>Table2[[#This Row],[Price/Sq.ft]]</f>
        <v>6350</v>
      </c>
      <c r="N26" s="8">
        <f>VLOOKUP(Table2[[#This Row],[Unit ]],'[1]Muraba Unit Wise Details '!$C$4:$L$67,10,FALSE)</f>
        <v>17173966.508772478</v>
      </c>
      <c r="O26" s="8">
        <f>Table2[[#This Row],[Column2]]-Table2[[#This Row],[Price]]</f>
        <v>0</v>
      </c>
      <c r="P26" s="8">
        <f>Table2[[#This Row],[Price]]/Table2[[#This Row],[Total Area
(Sq.ft)]]</f>
        <v>4474.6156434921613</v>
      </c>
      <c r="Q26" s="162">
        <f>Table2[[#This Row],[Price]]/Table2[[#This Row],[Sellable Area
(Sq. ft)]]</f>
        <v>6350</v>
      </c>
      <c r="R26" s="209"/>
      <c r="S26" s="183"/>
      <c r="AF26" s="183"/>
      <c r="AG26" s="11"/>
      <c r="AH26" s="10"/>
      <c r="AI26" s="9"/>
      <c r="AJ26" s="9"/>
      <c r="AN26" s="183"/>
    </row>
    <row r="27" spans="1:40" ht="16.5" x14ac:dyDescent="0.35">
      <c r="A27" s="157" t="str">
        <f>IF(Table2[[#This Row],[Unit ]]="","","2 Bedroom")</f>
        <v>2 Bedroom</v>
      </c>
      <c r="B27" s="158" t="s">
        <v>36</v>
      </c>
      <c r="C27" s="159">
        <v>1503</v>
      </c>
      <c r="D27" s="160" t="s">
        <v>40</v>
      </c>
      <c r="E27" s="161">
        <f>IF(Table2[[#This Row],[Unit ]]="","",_xlfn.XLOOKUP(Table2[[#This Row],[Type]],'Muraba Veil Sale Summary'!A:A,'Muraba Veil Sale Summary'!P:P))</f>
        <v>2</v>
      </c>
      <c r="F27" s="162">
        <f>IF(Table2[[#This Row],[Unit ]]="","",_xlfn.XLOOKUP(Table2[[#This Row],[Type]],'Muraba Veil Sale Summary'!$A:$A,'Muraba Veil Sale Summary'!F:F))</f>
        <v>2218.7648507519998</v>
      </c>
      <c r="G27" s="162">
        <f>IF(Table2[[#This Row],[Unit ]]="","",_xlfn.XLOOKUP(Table2[[#This Row],[Type]],'Muraba Veil Sale Summary'!$A:$A,'Muraba Veil Sale Summary'!G:G))</f>
        <v>1619.322680576</v>
      </c>
      <c r="H27" s="162">
        <f t="shared" si="0"/>
        <v>3838.0875313279998</v>
      </c>
      <c r="I27" s="163">
        <f>'Launches Residences'!$U$7</f>
        <v>0.3</v>
      </c>
      <c r="J27" s="162">
        <f>IF(Table2[[#This Row],[Unit ]]="","",F27+(G27*Table2[[#This Row],[Terrace Area]]))</f>
        <v>2704.5616549247998</v>
      </c>
      <c r="K27" s="8">
        <f>_xlfn.XLOOKUP(Table2[[#This Row],[Unit ]],'Launches Residences'!$F$15:$F$71,'Launches Residences'!$J$15:$J$71)</f>
        <v>6350</v>
      </c>
      <c r="L27" s="8">
        <f t="shared" si="2"/>
        <v>17173966.508772478</v>
      </c>
      <c r="M27" s="3">
        <f>Table2[[#This Row],[Price/Sq.ft]]</f>
        <v>6350</v>
      </c>
      <c r="N27" s="8">
        <f>VLOOKUP(Table2[[#This Row],[Unit ]],'[1]Muraba Unit Wise Details '!$C$4:$L$67,10,FALSE)</f>
        <v>17173966.508772478</v>
      </c>
      <c r="O27" s="8">
        <f>Table2[[#This Row],[Column2]]-Table2[[#This Row],[Price]]</f>
        <v>0</v>
      </c>
      <c r="P27" s="8">
        <f>Table2[[#This Row],[Price]]/Table2[[#This Row],[Total Area
(Sq.ft)]]</f>
        <v>4474.6156434921613</v>
      </c>
      <c r="Q27" s="162">
        <f>Table2[[#This Row],[Price]]/Table2[[#This Row],[Sellable Area
(Sq. ft)]]</f>
        <v>6350</v>
      </c>
      <c r="R27" s="209"/>
      <c r="S27" s="183"/>
      <c r="AF27" s="183"/>
      <c r="AG27" s="11"/>
      <c r="AH27" s="10"/>
      <c r="AI27" s="9"/>
      <c r="AJ27" s="9"/>
      <c r="AN27" s="183"/>
    </row>
    <row r="28" spans="1:40" ht="16.5" x14ac:dyDescent="0.35">
      <c r="A28" s="157" t="str">
        <f>IF(Table2[[#This Row],[Unit ]]="","","2 Bedroom")</f>
        <v>2 Bedroom</v>
      </c>
      <c r="B28" s="158" t="s">
        <v>21</v>
      </c>
      <c r="C28" s="159">
        <v>1602</v>
      </c>
      <c r="D28" s="160" t="s">
        <v>41</v>
      </c>
      <c r="E28" s="161">
        <f>IF(Table2[[#This Row],[Unit ]]="","",_xlfn.XLOOKUP(Table2[[#This Row],[Type]],'Muraba Veil Sale Summary'!A:A,'Muraba Veil Sale Summary'!P:P))</f>
        <v>2</v>
      </c>
      <c r="F28" s="162">
        <f>IF(Table2[[#This Row],[Unit ]]="","",_xlfn.XLOOKUP(Table2[[#This Row],[Type]],'Muraba Veil Sale Summary'!$A:$A,'Muraba Veil Sale Summary'!F:F))</f>
        <v>2218.7648507519998</v>
      </c>
      <c r="G28" s="162">
        <f>IF(Table2[[#This Row],[Unit ]]="","",_xlfn.XLOOKUP(Table2[[#This Row],[Type]],'Muraba Veil Sale Summary'!$A:$A,'Muraba Veil Sale Summary'!G:G))</f>
        <v>1619.322680576</v>
      </c>
      <c r="H28" s="162">
        <f t="shared" si="0"/>
        <v>3838.0875313279998</v>
      </c>
      <c r="I28" s="163">
        <f>'Launches Residences'!$U$7</f>
        <v>0.3</v>
      </c>
      <c r="J28" s="162">
        <f>IF(Table2[[#This Row],[Unit ]]="","",F28+(G28*Table2[[#This Row],[Terrace Area]]))</f>
        <v>2704.5616549247998</v>
      </c>
      <c r="K28" s="8">
        <f>_xlfn.XLOOKUP(Table2[[#This Row],[Unit ]],'Launches Residences'!$E$15:$E$71,'Launches Residences'!$I$15:$I$71)</f>
        <v>6500</v>
      </c>
      <c r="L28" s="8">
        <f t="shared" si="2"/>
        <v>17579650.757011198</v>
      </c>
      <c r="M28" s="3">
        <f>Table2[[#This Row],[Price/Sq.ft]]</f>
        <v>6500</v>
      </c>
      <c r="N28" s="8">
        <f>VLOOKUP(Table2[[#This Row],[Unit ]],'[1]Muraba Unit Wise Details '!$C$4:$L$67,10,FALSE)</f>
        <v>17579650.757011198</v>
      </c>
      <c r="O28" s="8">
        <f>Table2[[#This Row],[Column2]]-Table2[[#This Row],[Price]]</f>
        <v>0</v>
      </c>
      <c r="P28" s="8">
        <f>Table2[[#This Row],[Price]]/Table2[[#This Row],[Total Area
(Sq.ft)]]</f>
        <v>4580.3152256218973</v>
      </c>
      <c r="Q28" s="162">
        <f>Table2[[#This Row],[Price]]/Table2[[#This Row],[Sellable Area
(Sq. ft)]]</f>
        <v>6500</v>
      </c>
      <c r="R28" s="209"/>
      <c r="S28" s="183"/>
      <c r="AF28" s="183"/>
      <c r="AG28" s="11"/>
      <c r="AH28" s="10"/>
      <c r="AI28" s="9"/>
      <c r="AJ28" s="9"/>
      <c r="AN28" s="183"/>
    </row>
    <row r="29" spans="1:40" ht="16.5" x14ac:dyDescent="0.35">
      <c r="A29" s="157" t="str">
        <f>IF(Table2[[#This Row],[Unit ]]="","","2 Bedroom")</f>
        <v>2 Bedroom</v>
      </c>
      <c r="B29" s="158" t="s">
        <v>21</v>
      </c>
      <c r="C29" s="159">
        <v>1603</v>
      </c>
      <c r="D29" s="160" t="s">
        <v>41</v>
      </c>
      <c r="E29" s="161">
        <f>IF(Table2[[#This Row],[Unit ]]="","",_xlfn.XLOOKUP(Table2[[#This Row],[Type]],'Muraba Veil Sale Summary'!A:A,'Muraba Veil Sale Summary'!P:P))</f>
        <v>2</v>
      </c>
      <c r="F29" s="162">
        <f>IF(Table2[[#This Row],[Unit ]]="","",_xlfn.XLOOKUP(Table2[[#This Row],[Type]],'Muraba Veil Sale Summary'!$A:$A,'Muraba Veil Sale Summary'!F:F))</f>
        <v>2218.7648507519998</v>
      </c>
      <c r="G29" s="162">
        <f>IF(Table2[[#This Row],[Unit ]]="","",_xlfn.XLOOKUP(Table2[[#This Row],[Type]],'Muraba Veil Sale Summary'!$A:$A,'Muraba Veil Sale Summary'!G:G))</f>
        <v>1619.322680576</v>
      </c>
      <c r="H29" s="162">
        <f t="shared" si="0"/>
        <v>3838.0875313279998</v>
      </c>
      <c r="I29" s="163">
        <f>'Launches Residences'!$U$7</f>
        <v>0.3</v>
      </c>
      <c r="J29" s="162">
        <f>IF(Table2[[#This Row],[Unit ]]="","",F29+(G29*Table2[[#This Row],[Terrace Area]]))</f>
        <v>2704.5616549247998</v>
      </c>
      <c r="K29" s="8">
        <f>_xlfn.XLOOKUP(Table2[[#This Row],[Unit ]],'Launches Residences'!$F$15:$F$71,'Launches Residences'!$J$15:$J$71)</f>
        <v>6500</v>
      </c>
      <c r="L29" s="8">
        <f t="shared" si="2"/>
        <v>17579650.757011198</v>
      </c>
      <c r="M29" s="3">
        <f>Table2[[#This Row],[Price/Sq.ft]]</f>
        <v>6500</v>
      </c>
      <c r="N29" s="8">
        <f>VLOOKUP(Table2[[#This Row],[Unit ]],'[1]Muraba Unit Wise Details '!$C$4:$L$67,10,FALSE)</f>
        <v>17579650.757011198</v>
      </c>
      <c r="O29" s="8">
        <f>Table2[[#This Row],[Column2]]-Table2[[#This Row],[Price]]</f>
        <v>0</v>
      </c>
      <c r="P29" s="8">
        <f>Table2[[#This Row],[Price]]/Table2[[#This Row],[Total Area
(Sq.ft)]]</f>
        <v>4580.3152256218973</v>
      </c>
      <c r="Q29" s="162">
        <f>Table2[[#This Row],[Price]]/Table2[[#This Row],[Sellable Area
(Sq. ft)]]</f>
        <v>6500</v>
      </c>
      <c r="R29" s="209"/>
      <c r="S29" s="183"/>
      <c r="AF29" s="183"/>
      <c r="AG29" s="11"/>
      <c r="AH29" s="10"/>
      <c r="AI29" s="9"/>
      <c r="AJ29" s="9"/>
      <c r="AN29" s="183"/>
    </row>
    <row r="30" spans="1:40" ht="16.5" x14ac:dyDescent="0.35">
      <c r="A30" s="173" t="str">
        <f>IF(Table2[[#This Row],[Unit ]]="","","2 Bedroom")</f>
        <v>2 Bedroom</v>
      </c>
      <c r="B30" s="166" t="s">
        <v>19</v>
      </c>
      <c r="C30" s="165">
        <v>1702</v>
      </c>
      <c r="D30" s="167" t="s">
        <v>42</v>
      </c>
      <c r="E30" s="168">
        <f>IF(Table2[[#This Row],[Unit ]]="","",_xlfn.XLOOKUP(Table2[[#This Row],[Type]],'Muraba Veil Sale Summary'!A:A,'Muraba Veil Sale Summary'!P:P))</f>
        <v>2</v>
      </c>
      <c r="F30" s="169">
        <f>IF(Table2[[#This Row],[Unit ]]="","",_xlfn.XLOOKUP(Table2[[#This Row],[Type]],'Muraba Veil Sale Summary'!$A:$A,'Muraba Veil Sale Summary'!F:F))</f>
        <v>2218.7648507519998</v>
      </c>
      <c r="G30" s="169">
        <f>IF(Table2[[#This Row],[Unit ]]="","",_xlfn.XLOOKUP(Table2[[#This Row],[Type]],'Muraba Veil Sale Summary'!$A:$A,'Muraba Veil Sale Summary'!G:G))</f>
        <v>1619.322680576</v>
      </c>
      <c r="H30" s="169">
        <f t="shared" si="0"/>
        <v>3838.0875313279998</v>
      </c>
      <c r="I30" s="170">
        <f>'Launches Residences'!$U$7</f>
        <v>0.3</v>
      </c>
      <c r="J30" s="169">
        <f>IF(Table2[[#This Row],[Unit ]]="","",F30+(G30*Table2[[#This Row],[Terrace Area]]))</f>
        <v>2704.5616549247998</v>
      </c>
      <c r="K30" s="171">
        <f>_xlfn.XLOOKUP(Table2[[#This Row],[Unit ]],'Launches Residences'!$E$15:$E$71,'Launches Residences'!$I$15:$I$71)</f>
        <v>5541.3460339164312</v>
      </c>
      <c r="L30" s="171">
        <v>14986912</v>
      </c>
      <c r="M30" s="172">
        <f>Table2[[#This Row],[Price/Sq.ft]]</f>
        <v>5541.3460339164312</v>
      </c>
      <c r="N30" s="8">
        <f>VLOOKUP(Table2[[#This Row],[Unit ]],'[1]Muraba Unit Wise Details '!$C$4:$L$67,10,FALSE)</f>
        <v>14986912</v>
      </c>
      <c r="O30" s="8">
        <f>Table2[[#This Row],[Column2]]-Table2[[#This Row],[Price]]</f>
        <v>0</v>
      </c>
      <c r="P30" s="8">
        <f>Table2[[#This Row],[Price]]/Table2[[#This Row],[Total Area
(Sq.ft)]]</f>
        <v>3904.7864014749148</v>
      </c>
      <c r="Q30" s="162">
        <f>Table2[[#This Row],[Price]]/Table2[[#This Row],[Sellable Area
(Sq. ft)]]</f>
        <v>5541.3460339164312</v>
      </c>
      <c r="R30" s="209"/>
      <c r="S30" s="183"/>
      <c r="AF30" s="183"/>
      <c r="AG30" s="11"/>
      <c r="AH30" s="10"/>
      <c r="AI30" s="9"/>
      <c r="AJ30" s="9"/>
      <c r="AN30" s="183"/>
    </row>
    <row r="31" spans="1:40" ht="16.5" x14ac:dyDescent="0.35">
      <c r="A31" s="157" t="str">
        <f>IF(Table2[[#This Row],[Unit ]]="","","2 Bedroom")</f>
        <v>2 Bedroom</v>
      </c>
      <c r="B31" s="158" t="s">
        <v>21</v>
      </c>
      <c r="C31" s="159">
        <v>1703</v>
      </c>
      <c r="D31" s="160" t="s">
        <v>42</v>
      </c>
      <c r="E31" s="161">
        <f>IF(Table2[[#This Row],[Unit ]]="","",_xlfn.XLOOKUP(Table2[[#This Row],[Type]],'Muraba Veil Sale Summary'!A:A,'Muraba Veil Sale Summary'!P:P))</f>
        <v>2</v>
      </c>
      <c r="F31" s="162">
        <f>IF(Table2[[#This Row],[Unit ]]="","",_xlfn.XLOOKUP(Table2[[#This Row],[Type]],'Muraba Veil Sale Summary'!$A:$A,'Muraba Veil Sale Summary'!F:F))</f>
        <v>2218.7648507519998</v>
      </c>
      <c r="G31" s="162">
        <f>IF(Table2[[#This Row],[Unit ]]="","",_xlfn.XLOOKUP(Table2[[#This Row],[Type]],'Muraba Veil Sale Summary'!$A:$A,'Muraba Veil Sale Summary'!G:G))</f>
        <v>1619.322680576</v>
      </c>
      <c r="H31" s="162">
        <f t="shared" si="0"/>
        <v>3838.0875313279998</v>
      </c>
      <c r="I31" s="163">
        <f>'Launches Residences'!$U$7</f>
        <v>0.3</v>
      </c>
      <c r="J31" s="162">
        <f>IF(Table2[[#This Row],[Unit ]]="","",F31+(G31*Table2[[#This Row],[Terrace Area]]))</f>
        <v>2704.5616549247998</v>
      </c>
      <c r="K31" s="8">
        <f>_xlfn.XLOOKUP(Table2[[#This Row],[Unit ]],'Launches Residences'!$F$15:$F$71,'Launches Residences'!$J$15:$J$71)</f>
        <v>6650</v>
      </c>
      <c r="L31" s="8">
        <f t="shared" ref="L31:L35" si="3">IFERROR(J31*K31,0)</f>
        <v>17985335.005249918</v>
      </c>
      <c r="M31" s="3">
        <f>Table2[[#This Row],[Price/Sq.ft]]</f>
        <v>6650</v>
      </c>
      <c r="N31" s="8">
        <f>VLOOKUP(Table2[[#This Row],[Unit ]],'[1]Muraba Unit Wise Details '!$C$4:$L$67,10,FALSE)</f>
        <v>17985335.005249918</v>
      </c>
      <c r="O31" s="8">
        <f>Table2[[#This Row],[Column2]]-Table2[[#This Row],[Price]]</f>
        <v>0</v>
      </c>
      <c r="P31" s="8">
        <f>Table2[[#This Row],[Price]]/Table2[[#This Row],[Total Area
(Sq.ft)]]</f>
        <v>4686.0148077516333</v>
      </c>
      <c r="Q31" s="162">
        <f>Table2[[#This Row],[Price]]/Table2[[#This Row],[Sellable Area
(Sq. ft)]]</f>
        <v>6650</v>
      </c>
      <c r="R31" s="209"/>
      <c r="S31" s="183"/>
      <c r="AF31" s="183"/>
      <c r="AG31" s="11"/>
      <c r="AH31" s="10"/>
      <c r="AI31" s="9"/>
      <c r="AJ31" s="9"/>
      <c r="AN31" s="183"/>
    </row>
    <row r="32" spans="1:40" ht="16.5" x14ac:dyDescent="0.35">
      <c r="A32" s="157" t="str">
        <f>IF(Table2[[#This Row],[Unit ]]="","","2 Bedroom")</f>
        <v>2 Bedroom</v>
      </c>
      <c r="B32" s="158" t="s">
        <v>21</v>
      </c>
      <c r="C32" s="159">
        <v>1802</v>
      </c>
      <c r="D32" s="160" t="s">
        <v>43</v>
      </c>
      <c r="E32" s="161">
        <f>IF(Table2[[#This Row],[Unit ]]="","",_xlfn.XLOOKUP(Table2[[#This Row],[Type]],'Muraba Veil Sale Summary'!A:A,'Muraba Veil Sale Summary'!P:P))</f>
        <v>2</v>
      </c>
      <c r="F32" s="162">
        <f>IF(Table2[[#This Row],[Unit ]]="","",_xlfn.XLOOKUP(Table2[[#This Row],[Type]],'Muraba Veil Sale Summary'!$A:$A,'Muraba Veil Sale Summary'!F:F))</f>
        <v>2218.7648507519998</v>
      </c>
      <c r="G32" s="162">
        <f>IF(Table2[[#This Row],[Unit ]]="","",_xlfn.XLOOKUP(Table2[[#This Row],[Type]],'Muraba Veil Sale Summary'!$A:$A,'Muraba Veil Sale Summary'!G:G))</f>
        <v>1619.322680576</v>
      </c>
      <c r="H32" s="162">
        <f t="shared" si="0"/>
        <v>3838.0875313279998</v>
      </c>
      <c r="I32" s="163">
        <f>'Launches Residences'!$U$7</f>
        <v>0.3</v>
      </c>
      <c r="J32" s="162">
        <f>IF(Table2[[#This Row],[Unit ]]="","",F32+(G32*Table2[[#This Row],[Terrace Area]]))</f>
        <v>2704.5616549247998</v>
      </c>
      <c r="K32" s="8">
        <f>_xlfn.XLOOKUP(Table2[[#This Row],[Unit ]],'Launches Residences'!$E$15:$E$71,'Launches Residences'!$I$15:$I$71)</f>
        <v>6800</v>
      </c>
      <c r="L32" s="8">
        <f t="shared" si="3"/>
        <v>18391019.253488638</v>
      </c>
      <c r="M32" s="3">
        <f>Table2[[#This Row],[Price/Sq.ft]]</f>
        <v>6800</v>
      </c>
      <c r="N32" s="8">
        <f>VLOOKUP(Table2[[#This Row],[Unit ]],'[1]Muraba Unit Wise Details '!$C$4:$L$67,10,FALSE)</f>
        <v>18391019.253488638</v>
      </c>
      <c r="O32" s="8">
        <f>Table2[[#This Row],[Column2]]-Table2[[#This Row],[Price]]</f>
        <v>0</v>
      </c>
      <c r="P32" s="8">
        <f>Table2[[#This Row],[Price]]/Table2[[#This Row],[Total Area
(Sq.ft)]]</f>
        <v>4791.7143898813692</v>
      </c>
      <c r="Q32" s="162">
        <f>Table2[[#This Row],[Price]]/Table2[[#This Row],[Sellable Area
(Sq. ft)]]</f>
        <v>6800</v>
      </c>
      <c r="R32" s="209"/>
      <c r="S32" s="183"/>
      <c r="AF32" s="183"/>
      <c r="AG32" s="11"/>
      <c r="AH32" s="10"/>
      <c r="AI32" s="9"/>
      <c r="AJ32" s="9"/>
      <c r="AN32" s="183"/>
    </row>
    <row r="33" spans="1:40" ht="16.5" x14ac:dyDescent="0.35">
      <c r="A33" s="157" t="str">
        <f>IF(Table2[[#This Row],[Unit ]]="","","2 Bedroom")</f>
        <v>2 Bedroom</v>
      </c>
      <c r="B33" s="158" t="s">
        <v>21</v>
      </c>
      <c r="C33" s="159">
        <v>1803</v>
      </c>
      <c r="D33" s="160" t="s">
        <v>43</v>
      </c>
      <c r="E33" s="161">
        <f>IF(Table2[[#This Row],[Unit ]]="","",_xlfn.XLOOKUP(Table2[[#This Row],[Type]],'Muraba Veil Sale Summary'!A:A,'Muraba Veil Sale Summary'!P:P))</f>
        <v>2</v>
      </c>
      <c r="F33" s="162">
        <f>IF(Table2[[#This Row],[Unit ]]="","",_xlfn.XLOOKUP(Table2[[#This Row],[Type]],'Muraba Veil Sale Summary'!$A:$A,'Muraba Veil Sale Summary'!F:F))</f>
        <v>2218.7648507519998</v>
      </c>
      <c r="G33" s="162">
        <f>IF(Table2[[#This Row],[Unit ]]="","",_xlfn.XLOOKUP(Table2[[#This Row],[Type]],'Muraba Veil Sale Summary'!$A:$A,'Muraba Veil Sale Summary'!G:G))</f>
        <v>1619.322680576</v>
      </c>
      <c r="H33" s="162">
        <f t="shared" si="0"/>
        <v>3838.0875313279998</v>
      </c>
      <c r="I33" s="163">
        <f>'Launches Residences'!$U$7</f>
        <v>0.3</v>
      </c>
      <c r="J33" s="162">
        <f>IF(Table2[[#This Row],[Unit ]]="","",F33+(G33*Table2[[#This Row],[Terrace Area]]))</f>
        <v>2704.5616549247998</v>
      </c>
      <c r="K33" s="8">
        <f>_xlfn.XLOOKUP(Table2[[#This Row],[Unit ]],'Launches Residences'!$F$15:$F$71,'Launches Residences'!$J$15:$J$71)</f>
        <v>6800</v>
      </c>
      <c r="L33" s="8">
        <f t="shared" si="3"/>
        <v>18391019.253488638</v>
      </c>
      <c r="M33" s="3">
        <f>Table2[[#This Row],[Price/Sq.ft]]</f>
        <v>6800</v>
      </c>
      <c r="N33" s="8">
        <f>VLOOKUP(Table2[[#This Row],[Unit ]],'[1]Muraba Unit Wise Details '!$C$4:$L$67,10,FALSE)</f>
        <v>18391019.253488638</v>
      </c>
      <c r="O33" s="8">
        <f>Table2[[#This Row],[Column2]]-Table2[[#This Row],[Price]]</f>
        <v>0</v>
      </c>
      <c r="P33" s="8">
        <f>Table2[[#This Row],[Price]]/Table2[[#This Row],[Total Area
(Sq.ft)]]</f>
        <v>4791.7143898813692</v>
      </c>
      <c r="Q33" s="162">
        <f>Table2[[#This Row],[Price]]/Table2[[#This Row],[Sellable Area
(Sq. ft)]]</f>
        <v>6800</v>
      </c>
      <c r="R33" s="209"/>
      <c r="S33" s="183"/>
      <c r="AF33" s="183"/>
      <c r="AG33" s="11"/>
      <c r="AH33" s="10"/>
      <c r="AI33" s="9"/>
      <c r="AJ33" s="9"/>
      <c r="AN33" s="183"/>
    </row>
    <row r="34" spans="1:40" ht="16.5" x14ac:dyDescent="0.35">
      <c r="A34" s="157" t="str">
        <f>IF(Table2[[#This Row],[Unit ]]="","","2 Bedroom")</f>
        <v>2 Bedroom</v>
      </c>
      <c r="B34" s="158" t="s">
        <v>36</v>
      </c>
      <c r="C34" s="159">
        <v>1902</v>
      </c>
      <c r="D34" s="160" t="s">
        <v>44</v>
      </c>
      <c r="E34" s="161">
        <f>IF(Table2[[#This Row],[Unit ]]="","",_xlfn.XLOOKUP(Table2[[#This Row],[Type]],'Muraba Veil Sale Summary'!A:A,'Muraba Veil Sale Summary'!P:P))</f>
        <v>2</v>
      </c>
      <c r="F34" s="162">
        <f>IF(Table2[[#This Row],[Unit ]]="","",_xlfn.XLOOKUP(Table2[[#This Row],[Type]],'Muraba Veil Sale Summary'!$A:$A,'Muraba Veil Sale Summary'!F:F))</f>
        <v>2218.7648507519998</v>
      </c>
      <c r="G34" s="162">
        <f>IF(Table2[[#This Row],[Unit ]]="","",_xlfn.XLOOKUP(Table2[[#This Row],[Type]],'Muraba Veil Sale Summary'!$A:$A,'Muraba Veil Sale Summary'!G:G))</f>
        <v>1619.322680576</v>
      </c>
      <c r="H34" s="162">
        <f t="shared" si="0"/>
        <v>3838.0875313279998</v>
      </c>
      <c r="I34" s="163">
        <f>'Launches Residences'!$U$7</f>
        <v>0.3</v>
      </c>
      <c r="J34" s="162">
        <f>IF(Table2[[#This Row],[Unit ]]="","",F34+(G34*Table2[[#This Row],[Terrace Area]]))</f>
        <v>2704.5616549247998</v>
      </c>
      <c r="K34" s="8">
        <f>_xlfn.XLOOKUP(Table2[[#This Row],[Unit ]],'Launches Residences'!$E$15:$E$71,'Launches Residences'!$I$15:$I$71)</f>
        <v>6950</v>
      </c>
      <c r="L34" s="8">
        <f t="shared" si="3"/>
        <v>18796703.501727358</v>
      </c>
      <c r="M34" s="3">
        <f>Table2[[#This Row],[Price/Sq.ft]]</f>
        <v>6950</v>
      </c>
      <c r="N34" s="8">
        <f>VLOOKUP(Table2[[#This Row],[Unit ]],'[1]Muraba Unit Wise Details '!$C$4:$L$67,10,FALSE)</f>
        <v>18796703.501727358</v>
      </c>
      <c r="O34" s="8">
        <f>Table2[[#This Row],[Column2]]-Table2[[#This Row],[Price]]</f>
        <v>0</v>
      </c>
      <c r="P34" s="8">
        <f>Table2[[#This Row],[Price]]/Table2[[#This Row],[Total Area
(Sq.ft)]]</f>
        <v>4897.4139720111052</v>
      </c>
      <c r="Q34" s="162">
        <f>Table2[[#This Row],[Price]]/Table2[[#This Row],[Sellable Area
(Sq. ft)]]</f>
        <v>6950</v>
      </c>
      <c r="R34" s="209"/>
      <c r="S34" s="183"/>
      <c r="AF34" s="183"/>
      <c r="AG34" s="11"/>
      <c r="AH34" s="10"/>
      <c r="AI34" s="9"/>
      <c r="AJ34" s="9"/>
      <c r="AN34" s="183"/>
    </row>
    <row r="35" spans="1:40" ht="16.5" x14ac:dyDescent="0.35">
      <c r="A35" s="157" t="str">
        <f>IF(Table2[[#This Row],[Unit ]]="","","2 Bedroom")</f>
        <v>2 Bedroom</v>
      </c>
      <c r="B35" s="158" t="s">
        <v>36</v>
      </c>
      <c r="C35" s="159">
        <v>1903</v>
      </c>
      <c r="D35" s="160" t="s">
        <v>44</v>
      </c>
      <c r="E35" s="161">
        <f>IF(Table2[[#This Row],[Unit ]]="","",_xlfn.XLOOKUP(Table2[[#This Row],[Type]],'Muraba Veil Sale Summary'!A:A,'Muraba Veil Sale Summary'!P:P))</f>
        <v>2</v>
      </c>
      <c r="F35" s="162">
        <f>IF(Table2[[#This Row],[Unit ]]="","",_xlfn.XLOOKUP(Table2[[#This Row],[Type]],'Muraba Veil Sale Summary'!$A:$A,'Muraba Veil Sale Summary'!F:F))</f>
        <v>2218.7648507519998</v>
      </c>
      <c r="G35" s="162">
        <f>IF(Table2[[#This Row],[Unit ]]="","",_xlfn.XLOOKUP(Table2[[#This Row],[Type]],'Muraba Veil Sale Summary'!$A:$A,'Muraba Veil Sale Summary'!G:G))</f>
        <v>1619.322680576</v>
      </c>
      <c r="H35" s="162">
        <f t="shared" si="0"/>
        <v>3838.0875313279998</v>
      </c>
      <c r="I35" s="163">
        <f>'Launches Residences'!$U$7</f>
        <v>0.3</v>
      </c>
      <c r="J35" s="162">
        <f>IF(Table2[[#This Row],[Unit ]]="","",F35+(G35*Table2[[#This Row],[Terrace Area]]))</f>
        <v>2704.5616549247998</v>
      </c>
      <c r="K35" s="8">
        <f>_xlfn.XLOOKUP(Table2[[#This Row],[Unit ]],'Launches Residences'!$F$15:$F$71,'Launches Residences'!$J$15:$J$71)</f>
        <v>6950</v>
      </c>
      <c r="L35" s="8">
        <f t="shared" si="3"/>
        <v>18796703.501727358</v>
      </c>
      <c r="M35" s="3">
        <f>Table2[[#This Row],[Price/Sq.ft]]</f>
        <v>6950</v>
      </c>
      <c r="N35" s="8">
        <f>VLOOKUP(Table2[[#This Row],[Unit ]],'[1]Muraba Unit Wise Details '!$C$4:$L$67,10,FALSE)</f>
        <v>18796703.501727358</v>
      </c>
      <c r="O35" s="8">
        <f>Table2[[#This Row],[Column2]]-Table2[[#This Row],[Price]]</f>
        <v>0</v>
      </c>
      <c r="P35" s="8">
        <f>Table2[[#This Row],[Price]]/Table2[[#This Row],[Total Area
(Sq.ft)]]</f>
        <v>4897.4139720111052</v>
      </c>
      <c r="Q35" s="162">
        <f>Table2[[#This Row],[Price]]/Table2[[#This Row],[Sellable Area
(Sq. ft)]]</f>
        <v>6950</v>
      </c>
      <c r="R35" s="209"/>
      <c r="S35" s="183"/>
      <c r="AF35" s="183"/>
      <c r="AG35" s="11"/>
      <c r="AH35" s="10"/>
      <c r="AI35" s="9"/>
      <c r="AJ35" s="9"/>
      <c r="AN35" s="183"/>
    </row>
    <row r="36" spans="1:40" ht="16.5" x14ac:dyDescent="0.35">
      <c r="A36" s="173" t="str">
        <f>IF(Table2[[#This Row],[Unit ]]="","","2 Bedroom")</f>
        <v>2 Bedroom</v>
      </c>
      <c r="B36" s="166" t="s">
        <v>19</v>
      </c>
      <c r="C36" s="165">
        <v>2002</v>
      </c>
      <c r="D36" s="167" t="s">
        <v>45</v>
      </c>
      <c r="E36" s="168">
        <f>IF(Table2[[#This Row],[Unit ]]="","",_xlfn.XLOOKUP(Table2[[#This Row],[Type]],'Muraba Veil Sale Summary'!A:A,'Muraba Veil Sale Summary'!P:P))</f>
        <v>2</v>
      </c>
      <c r="F36" s="169">
        <f>IF(Table2[[#This Row],[Unit ]]="","",_xlfn.XLOOKUP(Table2[[#This Row],[Type]],'Muraba Veil Sale Summary'!$A:$A,'Muraba Veil Sale Summary'!F:F))</f>
        <v>2218.7648507519998</v>
      </c>
      <c r="G36" s="169">
        <f>IF(Table2[[#This Row],[Unit ]]="","",_xlfn.XLOOKUP(Table2[[#This Row],[Type]],'Muraba Veil Sale Summary'!$A:$A,'Muraba Veil Sale Summary'!G:G))</f>
        <v>1619.322680576</v>
      </c>
      <c r="H36" s="169">
        <f t="shared" ref="H36:H67" si="4">IFERROR(F36+G36,0)</f>
        <v>3838.0875313279998</v>
      </c>
      <c r="I36" s="170">
        <f>'Launches Residences'!$U$7</f>
        <v>0.3</v>
      </c>
      <c r="J36" s="169">
        <f>IF(Table2[[#This Row],[Unit ]]="","",F36+(G36*Table2[[#This Row],[Terrace Area]]))</f>
        <v>2704.5616549247998</v>
      </c>
      <c r="K36" s="171">
        <f>_xlfn.XLOOKUP(Table2[[#This Row],[Unit ]],'Launches Residences'!$E$15:$E$71,'Launches Residences'!$I$15:$I$71)</f>
        <v>5361.3124232522523</v>
      </c>
      <c r="L36" s="171">
        <v>14500000</v>
      </c>
      <c r="M36" s="172">
        <f>Table2[[#This Row],[Price/Sq.ft]]</f>
        <v>5361.3124232522523</v>
      </c>
      <c r="N36" s="8">
        <f>VLOOKUP(Table2[[#This Row],[Unit ]],'[1]Muraba Unit Wise Details '!$C$4:$L$67,10,FALSE)</f>
        <v>14500000</v>
      </c>
      <c r="O36" s="8">
        <f>Table2[[#This Row],[Column2]]-Table2[[#This Row],[Price]]</f>
        <v>0</v>
      </c>
      <c r="P36" s="8">
        <f>Table2[[#This Row],[Price]]/Table2[[#This Row],[Total Area
(Sq.ft)]]</f>
        <v>3777.9232186981726</v>
      </c>
      <c r="Q36" s="162">
        <f>Table2[[#This Row],[Price]]/Table2[[#This Row],[Sellable Area
(Sq. ft)]]</f>
        <v>5361.3124232522523</v>
      </c>
      <c r="R36" s="209"/>
      <c r="S36" s="183"/>
      <c r="AF36" s="183"/>
      <c r="AG36" s="11"/>
      <c r="AH36" s="10"/>
      <c r="AI36" s="9"/>
      <c r="AJ36" s="9"/>
      <c r="AN36" s="183"/>
    </row>
    <row r="37" spans="1:40" ht="16.5" x14ac:dyDescent="0.35">
      <c r="A37" s="173" t="str">
        <f>IF(Table2[[#This Row],[Unit ]]="","","2 Bedroom")</f>
        <v>2 Bedroom</v>
      </c>
      <c r="B37" s="166" t="s">
        <v>19</v>
      </c>
      <c r="C37" s="165">
        <v>2003</v>
      </c>
      <c r="D37" s="167" t="s">
        <v>45</v>
      </c>
      <c r="E37" s="168">
        <f>IF(Table2[[#This Row],[Unit ]]="","",_xlfn.XLOOKUP(Table2[[#This Row],[Type]],'Muraba Veil Sale Summary'!A:A,'Muraba Veil Sale Summary'!P:P))</f>
        <v>2</v>
      </c>
      <c r="F37" s="169">
        <f>IF(Table2[[#This Row],[Unit ]]="","",_xlfn.XLOOKUP(Table2[[#This Row],[Type]],'Muraba Veil Sale Summary'!$A:$A,'Muraba Veil Sale Summary'!F:F))</f>
        <v>2218.7648507519998</v>
      </c>
      <c r="G37" s="169">
        <f>IF(Table2[[#This Row],[Unit ]]="","",_xlfn.XLOOKUP(Table2[[#This Row],[Type]],'Muraba Veil Sale Summary'!$A:$A,'Muraba Veil Sale Summary'!G:G))</f>
        <v>1619.322680576</v>
      </c>
      <c r="H37" s="169">
        <f t="shared" si="4"/>
        <v>3838.0875313279998</v>
      </c>
      <c r="I37" s="170">
        <f>'Launches Residences'!$U$7</f>
        <v>0.3</v>
      </c>
      <c r="J37" s="169">
        <f>IF(Table2[[#This Row],[Unit ]]="","",F37+(G37*Table2[[#This Row],[Terrace Area]]))</f>
        <v>2704.5616549247998</v>
      </c>
      <c r="K37" s="171">
        <f>_xlfn.XLOOKUP(Table2[[#This Row],[Unit ]],'Launches Residences'!$F$15:$F$71,'Launches Residences'!$J$15:$J$71)</f>
        <v>5950.0000566440931</v>
      </c>
      <c r="L37" s="171">
        <v>16092142</v>
      </c>
      <c r="M37" s="172">
        <f>Table2[[#This Row],[Price/Sq.ft]]</f>
        <v>5950.0000566440931</v>
      </c>
      <c r="N37" s="8">
        <f>VLOOKUP(Table2[[#This Row],[Unit ]],'[1]Muraba Unit Wise Details '!$C$4:$L$67,10,FALSE)</f>
        <v>16092142</v>
      </c>
      <c r="O37" s="8">
        <f>Table2[[#This Row],[Column2]]-Table2[[#This Row],[Price]]</f>
        <v>0</v>
      </c>
      <c r="P37" s="8">
        <f>Table2[[#This Row],[Price]]/Table2[[#This Row],[Total Area
(Sq.ft)]]</f>
        <v>4192.7501310612442</v>
      </c>
      <c r="Q37" s="162">
        <f>Table2[[#This Row],[Price]]/Table2[[#This Row],[Sellable Area
(Sq. ft)]]</f>
        <v>5950.0000566440931</v>
      </c>
      <c r="R37" s="209"/>
      <c r="S37" s="183"/>
      <c r="AF37" s="183"/>
      <c r="AG37" s="11"/>
      <c r="AH37" s="10"/>
      <c r="AI37" s="9"/>
      <c r="AJ37" s="9"/>
      <c r="AN37" s="183"/>
    </row>
    <row r="38" spans="1:40" ht="16.5" x14ac:dyDescent="0.35">
      <c r="A38" s="173" t="str">
        <f>IF(Table2[[#This Row],[Unit ]]="","","2 Bedroom")</f>
        <v>2 Bedroom</v>
      </c>
      <c r="B38" s="166" t="s">
        <v>19</v>
      </c>
      <c r="C38" s="165">
        <v>2102</v>
      </c>
      <c r="D38" s="167" t="s">
        <v>46</v>
      </c>
      <c r="E38" s="168">
        <f>IF(Table2[[#This Row],[Unit ]]="","",_xlfn.XLOOKUP(Table2[[#This Row],[Type]],'Muraba Veil Sale Summary'!A:A,'Muraba Veil Sale Summary'!P:P))</f>
        <v>2</v>
      </c>
      <c r="F38" s="169">
        <f>IF(Table2[[#This Row],[Unit ]]="","",_xlfn.XLOOKUP(Table2[[#This Row],[Type]],'Muraba Veil Sale Summary'!$A:$A,'Muraba Veil Sale Summary'!F:F))</f>
        <v>2218.7648507519998</v>
      </c>
      <c r="G38" s="169">
        <f>IF(Table2[[#This Row],[Unit ]]="","",_xlfn.XLOOKUP(Table2[[#This Row],[Type]],'Muraba Veil Sale Summary'!$A:$A,'Muraba Veil Sale Summary'!G:G))</f>
        <v>1619.322680576</v>
      </c>
      <c r="H38" s="169">
        <f t="shared" si="4"/>
        <v>3838.0875313279998</v>
      </c>
      <c r="I38" s="170">
        <f>'Launches Residences'!$U$7</f>
        <v>0.3</v>
      </c>
      <c r="J38" s="169">
        <f>IF(Table2[[#This Row],[Unit ]]="","",F38+(G38*Table2[[#This Row],[Terrace Area]]))</f>
        <v>2704.5616549247998</v>
      </c>
      <c r="K38" s="171">
        <f>_xlfn.XLOOKUP(Table2[[#This Row],[Unit ]],'Launches Residences'!$E$15:$E$71,'Launches Residences'!$I$15:$I$71)</f>
        <v>6149.9999342638321</v>
      </c>
      <c r="L38" s="171">
        <v>16633054</v>
      </c>
      <c r="M38" s="172">
        <f>Table2[[#This Row],[Price/Sq.ft]]</f>
        <v>6149.9999342638321</v>
      </c>
      <c r="N38" s="8">
        <f>VLOOKUP(Table2[[#This Row],[Unit ]],'[1]Muraba Unit Wise Details '!$C$4:$L$67,10,FALSE)</f>
        <v>16633054</v>
      </c>
      <c r="O38" s="8">
        <f>Table2[[#This Row],[Column2]]-Table2[[#This Row],[Price]]</f>
        <v>0</v>
      </c>
      <c r="P38" s="8">
        <f>Table2[[#This Row],[Price]]/Table2[[#This Row],[Total Area
(Sq.ft)]]</f>
        <v>4333.6828209972764</v>
      </c>
      <c r="Q38" s="162">
        <f>Table2[[#This Row],[Price]]/Table2[[#This Row],[Sellable Area
(Sq. ft)]]</f>
        <v>6149.9999342638321</v>
      </c>
      <c r="R38" s="209"/>
      <c r="S38" s="183"/>
      <c r="AF38" s="183"/>
      <c r="AG38" s="11"/>
      <c r="AH38" s="10"/>
      <c r="AI38" s="9"/>
      <c r="AJ38" s="9"/>
      <c r="AN38" s="183"/>
    </row>
    <row r="39" spans="1:40" ht="16.5" x14ac:dyDescent="0.35">
      <c r="A39" s="157" t="str">
        <f>IF(Table2[[#This Row],[Unit ]]="","","2 Bedroom")</f>
        <v>2 Bedroom</v>
      </c>
      <c r="B39" s="158" t="s">
        <v>21</v>
      </c>
      <c r="C39" s="159">
        <v>2103</v>
      </c>
      <c r="D39" s="160" t="s">
        <v>46</v>
      </c>
      <c r="E39" s="161">
        <f>IF(Table2[[#This Row],[Unit ]]="","",_xlfn.XLOOKUP(Table2[[#This Row],[Type]],'Muraba Veil Sale Summary'!A:A,'Muraba Veil Sale Summary'!P:P))</f>
        <v>2</v>
      </c>
      <c r="F39" s="162">
        <f>IF(Table2[[#This Row],[Unit ]]="","",_xlfn.XLOOKUP(Table2[[#This Row],[Type]],'Muraba Veil Sale Summary'!$A:$A,'Muraba Veil Sale Summary'!F:F))</f>
        <v>2218.7648507519998</v>
      </c>
      <c r="G39" s="162">
        <f>IF(Table2[[#This Row],[Unit ]]="","",_xlfn.XLOOKUP(Table2[[#This Row],[Type]],'Muraba Veil Sale Summary'!$A:$A,'Muraba Veil Sale Summary'!G:G))</f>
        <v>1619.322680576</v>
      </c>
      <c r="H39" s="162">
        <f t="shared" si="4"/>
        <v>3838.0875313279998</v>
      </c>
      <c r="I39" s="163">
        <f>'Launches Residences'!$U$7</f>
        <v>0.3</v>
      </c>
      <c r="J39" s="162">
        <f>IF(Table2[[#This Row],[Unit ]]="","",F39+(G39*Table2[[#This Row],[Terrace Area]]))</f>
        <v>2704.5616549247998</v>
      </c>
      <c r="K39" s="8">
        <f>_xlfn.XLOOKUP(Table2[[#This Row],[Unit ]],'Launches Residences'!$F$15:$F$71,'Launches Residences'!$J$15:$J$71)</f>
        <v>7100</v>
      </c>
      <c r="L39" s="8">
        <f t="shared" ref="L39:L51" si="5">IFERROR(J39*K39,0)</f>
        <v>19202387.749966078</v>
      </c>
      <c r="M39" s="3">
        <f>Table2[[#This Row],[Price/Sq.ft]]</f>
        <v>7100</v>
      </c>
      <c r="N39" s="8">
        <f>VLOOKUP(Table2[[#This Row],[Unit ]],'[1]Muraba Unit Wise Details '!$C$4:$L$67,10,FALSE)</f>
        <v>19608071.998204798</v>
      </c>
      <c r="O39" s="8">
        <f>Table2[[#This Row],[Column2]]-Table2[[#This Row],[Price]]</f>
        <v>405684.24823872</v>
      </c>
      <c r="P39" s="8">
        <f>Table2[[#This Row],[Price]]/Table2[[#This Row],[Total Area
(Sq.ft)]]</f>
        <v>5003.1135541408412</v>
      </c>
      <c r="Q39" s="162">
        <f>Table2[[#This Row],[Price]]/Table2[[#This Row],[Sellable Area
(Sq. ft)]]</f>
        <v>7100</v>
      </c>
      <c r="R39" s="209"/>
      <c r="S39" s="183"/>
      <c r="AF39" s="183"/>
      <c r="AG39" s="11"/>
      <c r="AH39" s="10"/>
      <c r="AI39" s="9"/>
      <c r="AJ39" s="9"/>
      <c r="AN39" s="183"/>
    </row>
    <row r="40" spans="1:40" ht="16.5" x14ac:dyDescent="0.35">
      <c r="A40" s="157" t="str">
        <f>IF(Table2[[#This Row],[Unit ]]="","","2 Bedroom")</f>
        <v>2 Bedroom</v>
      </c>
      <c r="B40" s="158" t="s">
        <v>21</v>
      </c>
      <c r="C40" s="159">
        <v>2202</v>
      </c>
      <c r="D40" s="160" t="s">
        <v>47</v>
      </c>
      <c r="E40" s="161">
        <f>IF(Table2[[#This Row],[Unit ]]="","",_xlfn.XLOOKUP(Table2[[#This Row],[Type]],'Muraba Veil Sale Summary'!A:A,'Muraba Veil Sale Summary'!P:P))</f>
        <v>2</v>
      </c>
      <c r="F40" s="162">
        <f>IF(Table2[[#This Row],[Unit ]]="","",_xlfn.XLOOKUP(Table2[[#This Row],[Type]],'Muraba Veil Sale Summary'!$A:$A,'Muraba Veil Sale Summary'!F:F))</f>
        <v>2218.7648507519998</v>
      </c>
      <c r="G40" s="162">
        <f>IF(Table2[[#This Row],[Unit ]]="","",_xlfn.XLOOKUP(Table2[[#This Row],[Type]],'Muraba Veil Sale Summary'!$A:$A,'Muraba Veil Sale Summary'!G:G))</f>
        <v>1619.322680576</v>
      </c>
      <c r="H40" s="162">
        <f t="shared" si="4"/>
        <v>3838.0875313279998</v>
      </c>
      <c r="I40" s="163">
        <f>'Launches Residences'!$U$7</f>
        <v>0.3</v>
      </c>
      <c r="J40" s="162">
        <f>IF(Table2[[#This Row],[Unit ]]="","",F40+(G40*Table2[[#This Row],[Terrace Area]]))</f>
        <v>2704.5616549247998</v>
      </c>
      <c r="K40" s="8">
        <f>_xlfn.XLOOKUP(Table2[[#This Row],[Unit ]],'Launches Residences'!$E$15:$E$71,'Launches Residences'!$I$15:$I$71)</f>
        <v>7400</v>
      </c>
      <c r="L40" s="8">
        <f t="shared" si="5"/>
        <v>20013756.246443518</v>
      </c>
      <c r="M40" s="3">
        <f>Table2[[#This Row],[Price/Sq.ft]]</f>
        <v>7400</v>
      </c>
      <c r="N40" s="8">
        <f>VLOOKUP(Table2[[#This Row],[Unit ]],'[1]Muraba Unit Wise Details '!$C$4:$L$67,10,FALSE)</f>
        <v>20013756.246443518</v>
      </c>
      <c r="O40" s="8">
        <f>Table2[[#This Row],[Column2]]-Table2[[#This Row],[Price]]</f>
        <v>0</v>
      </c>
      <c r="P40" s="8">
        <f>Table2[[#This Row],[Price]]/Table2[[#This Row],[Total Area
(Sq.ft)]]</f>
        <v>5214.512718400314</v>
      </c>
      <c r="Q40" s="162">
        <f>Table2[[#This Row],[Price]]/Table2[[#This Row],[Sellable Area
(Sq. ft)]]</f>
        <v>7400</v>
      </c>
      <c r="R40" s="209"/>
      <c r="S40" s="183"/>
      <c r="AF40" s="183"/>
      <c r="AG40" s="11"/>
      <c r="AH40" s="10"/>
      <c r="AI40" s="9"/>
      <c r="AJ40" s="9"/>
      <c r="AN40" s="183"/>
    </row>
    <row r="41" spans="1:40" ht="16.5" x14ac:dyDescent="0.35">
      <c r="A41" s="157" t="str">
        <f>IF(Table2[[#This Row],[Unit ]]="","","2 Bedroom")</f>
        <v>2 Bedroom</v>
      </c>
      <c r="B41" s="158" t="s">
        <v>21</v>
      </c>
      <c r="C41" s="159">
        <v>2203</v>
      </c>
      <c r="D41" s="160" t="s">
        <v>47</v>
      </c>
      <c r="E41" s="161">
        <f>IF(Table2[[#This Row],[Unit ]]="","",_xlfn.XLOOKUP(Table2[[#This Row],[Type]],'Muraba Veil Sale Summary'!A:A,'Muraba Veil Sale Summary'!P:P))</f>
        <v>2</v>
      </c>
      <c r="F41" s="162">
        <f>IF(Table2[[#This Row],[Unit ]]="","",_xlfn.XLOOKUP(Table2[[#This Row],[Type]],'Muraba Veil Sale Summary'!$A:$A,'Muraba Veil Sale Summary'!F:F))</f>
        <v>2218.7648507519998</v>
      </c>
      <c r="G41" s="162">
        <f>IF(Table2[[#This Row],[Unit ]]="","",_xlfn.XLOOKUP(Table2[[#This Row],[Type]],'Muraba Veil Sale Summary'!$A:$A,'Muraba Veil Sale Summary'!G:G))</f>
        <v>1619.322680576</v>
      </c>
      <c r="H41" s="162">
        <f t="shared" si="4"/>
        <v>3838.0875313279998</v>
      </c>
      <c r="I41" s="163">
        <f>'Launches Residences'!$U$7</f>
        <v>0.3</v>
      </c>
      <c r="J41" s="162">
        <f>IF(Table2[[#This Row],[Unit ]]="","",F41+(G41*Table2[[#This Row],[Terrace Area]]))</f>
        <v>2704.5616549247998</v>
      </c>
      <c r="K41" s="8">
        <f>_xlfn.XLOOKUP(Table2[[#This Row],[Unit ]],'Launches Residences'!$F$15:$F$71,'Launches Residences'!$J$15:$J$71)</f>
        <v>7400</v>
      </c>
      <c r="L41" s="8">
        <f t="shared" si="5"/>
        <v>20013756.246443518</v>
      </c>
      <c r="M41" s="3">
        <f>Table2[[#This Row],[Price/Sq.ft]]</f>
        <v>7400</v>
      </c>
      <c r="N41" s="8">
        <f>VLOOKUP(Table2[[#This Row],[Unit ]],'[1]Muraba Unit Wise Details '!$C$4:$L$67,10,FALSE)</f>
        <v>20013756.246443518</v>
      </c>
      <c r="O41" s="8">
        <f>Table2[[#This Row],[Column2]]-Table2[[#This Row],[Price]]</f>
        <v>0</v>
      </c>
      <c r="P41" s="8">
        <f>Table2[[#This Row],[Price]]/Table2[[#This Row],[Total Area
(Sq.ft)]]</f>
        <v>5214.512718400314</v>
      </c>
      <c r="Q41" s="162">
        <f>Table2[[#This Row],[Price]]/Table2[[#This Row],[Sellable Area
(Sq. ft)]]</f>
        <v>7400</v>
      </c>
      <c r="R41" s="209"/>
      <c r="S41" s="183"/>
      <c r="AF41" s="183"/>
      <c r="AG41" s="11"/>
      <c r="AH41" s="10"/>
      <c r="AI41" s="9"/>
      <c r="AJ41" s="9"/>
      <c r="AN41" s="183"/>
    </row>
    <row r="42" spans="1:40" ht="16.5" x14ac:dyDescent="0.35">
      <c r="A42" s="157" t="str">
        <f>IF(Table2[[#This Row],[Unit ]]="","","2 Bedroom")</f>
        <v>2 Bedroom</v>
      </c>
      <c r="B42" s="158" t="s">
        <v>36</v>
      </c>
      <c r="C42" s="159">
        <v>2302</v>
      </c>
      <c r="D42" s="160" t="s">
        <v>48</v>
      </c>
      <c r="E42" s="161">
        <f>IF(Table2[[#This Row],[Unit ]]="","",_xlfn.XLOOKUP(Table2[[#This Row],[Type]],'Muraba Veil Sale Summary'!A:A,'Muraba Veil Sale Summary'!P:P))</f>
        <v>2</v>
      </c>
      <c r="F42" s="162">
        <f>IF(Table2[[#This Row],[Unit ]]="","",_xlfn.XLOOKUP(Table2[[#This Row],[Type]],'Muraba Veil Sale Summary'!$A:$A,'Muraba Veil Sale Summary'!F:F))</f>
        <v>2218.7648507519998</v>
      </c>
      <c r="G42" s="162">
        <f>IF(Table2[[#This Row],[Unit ]]="","",_xlfn.XLOOKUP(Table2[[#This Row],[Type]],'Muraba Veil Sale Summary'!$A:$A,'Muraba Veil Sale Summary'!G:G))</f>
        <v>1619.322680576</v>
      </c>
      <c r="H42" s="162">
        <f t="shared" si="4"/>
        <v>3838.0875313279998</v>
      </c>
      <c r="I42" s="163">
        <f>'Launches Residences'!$U$7</f>
        <v>0.3</v>
      </c>
      <c r="J42" s="162">
        <f>IF(Table2[[#This Row],[Unit ]]="","",F42+(G42*Table2[[#This Row],[Terrace Area]]))</f>
        <v>2704.5616549247998</v>
      </c>
      <c r="K42" s="8">
        <f>_xlfn.XLOOKUP(Table2[[#This Row],[Unit ]],'Launches Residences'!$E$15:$E$71,'Launches Residences'!$I$15:$I$71)</f>
        <v>7550</v>
      </c>
      <c r="L42" s="8">
        <f t="shared" si="5"/>
        <v>20419440.494682238</v>
      </c>
      <c r="M42" s="3">
        <f>Table2[[#This Row],[Price/Sq.ft]]</f>
        <v>7550</v>
      </c>
      <c r="N42" s="8">
        <f>VLOOKUP(Table2[[#This Row],[Unit ]],'[1]Muraba Unit Wise Details '!$C$4:$L$67,10,FALSE)</f>
        <v>20419440.494682238</v>
      </c>
      <c r="O42" s="8">
        <f>Table2[[#This Row],[Column2]]-Table2[[#This Row],[Price]]</f>
        <v>0</v>
      </c>
      <c r="P42" s="8">
        <f>Table2[[#This Row],[Price]]/Table2[[#This Row],[Total Area
(Sq.ft)]]</f>
        <v>5320.21230053005</v>
      </c>
      <c r="Q42" s="162">
        <f>Table2[[#This Row],[Price]]/Table2[[#This Row],[Sellable Area
(Sq. ft)]]</f>
        <v>7550</v>
      </c>
      <c r="R42" s="209"/>
      <c r="S42" s="183"/>
      <c r="AF42" s="183"/>
      <c r="AG42" s="11"/>
      <c r="AH42" s="10"/>
      <c r="AI42" s="9"/>
      <c r="AJ42" s="9"/>
      <c r="AN42" s="183"/>
    </row>
    <row r="43" spans="1:40" ht="16.5" x14ac:dyDescent="0.35">
      <c r="A43" s="157" t="str">
        <f>IF(Table2[[#This Row],[Unit ]]="","","2 Bedroom")</f>
        <v>2 Bedroom</v>
      </c>
      <c r="B43" s="158" t="s">
        <v>36</v>
      </c>
      <c r="C43" s="159">
        <v>2303</v>
      </c>
      <c r="D43" s="160" t="s">
        <v>48</v>
      </c>
      <c r="E43" s="161">
        <f>IF(Table2[[#This Row],[Unit ]]="","",_xlfn.XLOOKUP(Table2[[#This Row],[Type]],'Muraba Veil Sale Summary'!A:A,'Muraba Veil Sale Summary'!P:P))</f>
        <v>2</v>
      </c>
      <c r="F43" s="162">
        <f>IF(Table2[[#This Row],[Unit ]]="","",_xlfn.XLOOKUP(Table2[[#This Row],[Type]],'Muraba Veil Sale Summary'!$A:$A,'Muraba Veil Sale Summary'!F:F))</f>
        <v>2218.7648507519998</v>
      </c>
      <c r="G43" s="162">
        <f>IF(Table2[[#This Row],[Unit ]]="","",_xlfn.XLOOKUP(Table2[[#This Row],[Type]],'Muraba Veil Sale Summary'!$A:$A,'Muraba Veil Sale Summary'!G:G))</f>
        <v>1619.322680576</v>
      </c>
      <c r="H43" s="162">
        <f t="shared" si="4"/>
        <v>3838.0875313279998</v>
      </c>
      <c r="I43" s="163">
        <f>'Launches Residences'!$U$7</f>
        <v>0.3</v>
      </c>
      <c r="J43" s="162">
        <f>IF(Table2[[#This Row],[Unit ]]="","",F43+(G43*Table2[[#This Row],[Terrace Area]]))</f>
        <v>2704.5616549247998</v>
      </c>
      <c r="K43" s="8">
        <f>_xlfn.XLOOKUP(Table2[[#This Row],[Unit ]],'Launches Residences'!$F$15:$F$71,'Launches Residences'!$J$15:$J$71)</f>
        <v>7550</v>
      </c>
      <c r="L43" s="8">
        <f t="shared" si="5"/>
        <v>20419440.494682238</v>
      </c>
      <c r="M43" s="3">
        <f>Table2[[#This Row],[Price/Sq.ft]]</f>
        <v>7550</v>
      </c>
      <c r="N43" s="8">
        <f>VLOOKUP(Table2[[#This Row],[Unit ]],'[1]Muraba Unit Wise Details '!$C$4:$L$67,10,FALSE)</f>
        <v>20419440.494682238</v>
      </c>
      <c r="O43" s="8">
        <f>Table2[[#This Row],[Column2]]-Table2[[#This Row],[Price]]</f>
        <v>0</v>
      </c>
      <c r="P43" s="8">
        <f>Table2[[#This Row],[Price]]/Table2[[#This Row],[Total Area
(Sq.ft)]]</f>
        <v>5320.21230053005</v>
      </c>
      <c r="Q43" s="162">
        <f>Table2[[#This Row],[Price]]/Table2[[#This Row],[Sellable Area
(Sq. ft)]]</f>
        <v>7550</v>
      </c>
      <c r="R43" s="209"/>
      <c r="S43" s="183"/>
      <c r="AF43" s="183"/>
      <c r="AG43" s="11"/>
      <c r="AH43" s="10"/>
      <c r="AI43" s="9"/>
      <c r="AJ43" s="9"/>
      <c r="AN43" s="183"/>
    </row>
    <row r="44" spans="1:40" ht="16.5" x14ac:dyDescent="0.35">
      <c r="A44" s="157" t="str">
        <f>IF(Table2[[#This Row],[Unit ]]="","","2 Bedroom")</f>
        <v>2 Bedroom</v>
      </c>
      <c r="B44" s="158" t="s">
        <v>21</v>
      </c>
      <c r="C44" s="159">
        <v>2402</v>
      </c>
      <c r="D44" s="160" t="s">
        <v>49</v>
      </c>
      <c r="E44" s="161">
        <f>IF(Table2[[#This Row],[Unit ]]="","",_xlfn.XLOOKUP(Table2[[#This Row],[Type]],'Muraba Veil Sale Summary'!A:A,'Muraba Veil Sale Summary'!P:P))</f>
        <v>2</v>
      </c>
      <c r="F44" s="162">
        <f>IF(Table2[[#This Row],[Unit ]]="","",_xlfn.XLOOKUP(Table2[[#This Row],[Type]],'Muraba Veil Sale Summary'!$A:$A,'Muraba Veil Sale Summary'!F:F))</f>
        <v>2218.7648507519998</v>
      </c>
      <c r="G44" s="162">
        <f>IF(Table2[[#This Row],[Unit ]]="","",_xlfn.XLOOKUP(Table2[[#This Row],[Type]],'Muraba Veil Sale Summary'!$A:$A,'Muraba Veil Sale Summary'!G:G))</f>
        <v>1619.322680576</v>
      </c>
      <c r="H44" s="162">
        <f t="shared" si="4"/>
        <v>3838.0875313279998</v>
      </c>
      <c r="I44" s="163">
        <f>'Launches Residences'!$U$7</f>
        <v>0.3</v>
      </c>
      <c r="J44" s="162">
        <f>IF(Table2[[#This Row],[Unit ]]="","",F44+(G44*Table2[[#This Row],[Terrace Area]]))</f>
        <v>2704.5616549247998</v>
      </c>
      <c r="K44" s="8">
        <f>_xlfn.XLOOKUP(Table2[[#This Row],[Unit ]],'Launches Residences'!$E$15:$E$71,'Launches Residences'!$I$15:$I$71)</f>
        <v>7700</v>
      </c>
      <c r="L44" s="8">
        <f t="shared" si="5"/>
        <v>20825124.742920958</v>
      </c>
      <c r="M44" s="3">
        <f>Table2[[#This Row],[Price/Sq.ft]]</f>
        <v>7700</v>
      </c>
      <c r="N44" s="8">
        <f>VLOOKUP(Table2[[#This Row],[Unit ]],'[1]Muraba Unit Wise Details '!$C$4:$L$67,10,FALSE)</f>
        <v>20825124.742920958</v>
      </c>
      <c r="O44" s="8">
        <f>Table2[[#This Row],[Column2]]-Table2[[#This Row],[Price]]</f>
        <v>0</v>
      </c>
      <c r="P44" s="8">
        <f>Table2[[#This Row],[Price]]/Table2[[#This Row],[Total Area
(Sq.ft)]]</f>
        <v>5425.911882659786</v>
      </c>
      <c r="Q44" s="162">
        <f>Table2[[#This Row],[Price]]/Table2[[#This Row],[Sellable Area
(Sq. ft)]]</f>
        <v>7700</v>
      </c>
      <c r="R44" s="209"/>
      <c r="S44" s="183"/>
      <c r="AF44" s="183"/>
      <c r="AG44" s="11"/>
      <c r="AH44" s="10"/>
      <c r="AI44" s="9"/>
      <c r="AJ44" s="9"/>
      <c r="AN44" s="183"/>
    </row>
    <row r="45" spans="1:40" ht="16.5" x14ac:dyDescent="0.35">
      <c r="A45" s="157" t="str">
        <f>IF(Table2[[#This Row],[Unit ]]="","","2 Bedroom")</f>
        <v>2 Bedroom</v>
      </c>
      <c r="B45" s="158" t="s">
        <v>21</v>
      </c>
      <c r="C45" s="159">
        <v>2403</v>
      </c>
      <c r="D45" s="160" t="s">
        <v>49</v>
      </c>
      <c r="E45" s="161">
        <f>IF(Table2[[#This Row],[Unit ]]="","",_xlfn.XLOOKUP(Table2[[#This Row],[Type]],'Muraba Veil Sale Summary'!A:A,'Muraba Veil Sale Summary'!P:P))</f>
        <v>2</v>
      </c>
      <c r="F45" s="162">
        <f>IF(Table2[[#This Row],[Unit ]]="","",_xlfn.XLOOKUP(Table2[[#This Row],[Type]],'Muraba Veil Sale Summary'!$A:$A,'Muraba Veil Sale Summary'!F:F))</f>
        <v>2218.7648507519998</v>
      </c>
      <c r="G45" s="162">
        <f>IF(Table2[[#This Row],[Unit ]]="","",_xlfn.XLOOKUP(Table2[[#This Row],[Type]],'Muraba Veil Sale Summary'!$A:$A,'Muraba Veil Sale Summary'!G:G))</f>
        <v>1619.322680576</v>
      </c>
      <c r="H45" s="162">
        <f t="shared" si="4"/>
        <v>3838.0875313279998</v>
      </c>
      <c r="I45" s="163">
        <f>'Launches Residences'!$U$7</f>
        <v>0.3</v>
      </c>
      <c r="J45" s="162">
        <f>IF(Table2[[#This Row],[Unit ]]="","",F45+(G45*Table2[[#This Row],[Terrace Area]]))</f>
        <v>2704.5616549247998</v>
      </c>
      <c r="K45" s="8">
        <f>_xlfn.XLOOKUP(Table2[[#This Row],[Unit ]],'Launches Residences'!$F$15:$F$71,'Launches Residences'!$J$15:$J$71)</f>
        <v>7700</v>
      </c>
      <c r="L45" s="8">
        <f t="shared" si="5"/>
        <v>20825124.742920958</v>
      </c>
      <c r="M45" s="3">
        <f>Table2[[#This Row],[Price/Sq.ft]]</f>
        <v>7700</v>
      </c>
      <c r="N45" s="8">
        <f>VLOOKUP(Table2[[#This Row],[Unit ]],'[1]Muraba Unit Wise Details '!$C$4:$L$67,10,FALSE)</f>
        <v>20825124.742920958</v>
      </c>
      <c r="O45" s="8">
        <f>Table2[[#This Row],[Column2]]-Table2[[#This Row],[Price]]</f>
        <v>0</v>
      </c>
      <c r="P45" s="8">
        <f>Table2[[#This Row],[Price]]/Table2[[#This Row],[Total Area
(Sq.ft)]]</f>
        <v>5425.911882659786</v>
      </c>
      <c r="Q45" s="162">
        <f>Table2[[#This Row],[Price]]/Table2[[#This Row],[Sellable Area
(Sq. ft)]]</f>
        <v>7700</v>
      </c>
      <c r="R45" s="209"/>
      <c r="S45" s="183"/>
      <c r="AF45" s="183"/>
      <c r="AG45" s="11"/>
      <c r="AH45" s="10"/>
      <c r="AI45" s="9"/>
      <c r="AJ45" s="9"/>
      <c r="AN45" s="183"/>
    </row>
    <row r="46" spans="1:40" ht="16.5" x14ac:dyDescent="0.35">
      <c r="A46" s="157" t="str">
        <f>IF(Table2[[#This Row],[Unit ]]="","","2 Bedroom")</f>
        <v>2 Bedroom</v>
      </c>
      <c r="B46" s="158" t="s">
        <v>21</v>
      </c>
      <c r="C46" s="159">
        <v>2502</v>
      </c>
      <c r="D46" s="160" t="s">
        <v>50</v>
      </c>
      <c r="E46" s="161">
        <f>IF(Table2[[#This Row],[Unit ]]="","",_xlfn.XLOOKUP(Table2[[#This Row],[Type]],'Muraba Veil Sale Summary'!A:A,'Muraba Veil Sale Summary'!P:P))</f>
        <v>2</v>
      </c>
      <c r="F46" s="162">
        <f>IF(Table2[[#This Row],[Unit ]]="","",_xlfn.XLOOKUP(Table2[[#This Row],[Type]],'Muraba Veil Sale Summary'!$A:$A,'Muraba Veil Sale Summary'!F:F))</f>
        <v>2218.7648507519998</v>
      </c>
      <c r="G46" s="162">
        <f>IF(Table2[[#This Row],[Unit ]]="","",_xlfn.XLOOKUP(Table2[[#This Row],[Type]],'Muraba Veil Sale Summary'!$A:$A,'Muraba Veil Sale Summary'!G:G))</f>
        <v>1619.322680576</v>
      </c>
      <c r="H46" s="162">
        <f t="shared" si="4"/>
        <v>3838.0875313279998</v>
      </c>
      <c r="I46" s="163">
        <f>'Launches Residences'!$U$7</f>
        <v>0.3</v>
      </c>
      <c r="J46" s="162">
        <f>IF(Table2[[#This Row],[Unit ]]="","",F46+(G46*Table2[[#This Row],[Terrace Area]]))</f>
        <v>2704.5616549247998</v>
      </c>
      <c r="K46" s="8">
        <f>_xlfn.XLOOKUP(Table2[[#This Row],[Unit ]],'Launches Residences'!$E$15:$E$71,'Launches Residences'!$I$15:$I$71)</f>
        <v>7850</v>
      </c>
      <c r="L46" s="8">
        <f t="shared" si="5"/>
        <v>21230808.991159678</v>
      </c>
      <c r="M46" s="3">
        <f>Table2[[#This Row],[Price/Sq.ft]]</f>
        <v>7850</v>
      </c>
      <c r="N46" s="8">
        <f>VLOOKUP(Table2[[#This Row],[Unit ]],'[1]Muraba Unit Wise Details '!$C$4:$L$67,10,FALSE)</f>
        <v>21230808.991159678</v>
      </c>
      <c r="O46" s="8">
        <f>Table2[[#This Row],[Column2]]-Table2[[#This Row],[Price]]</f>
        <v>0</v>
      </c>
      <c r="P46" s="8">
        <f>Table2[[#This Row],[Price]]/Table2[[#This Row],[Total Area
(Sq.ft)]]</f>
        <v>5531.611464789522</v>
      </c>
      <c r="Q46" s="162">
        <f>Table2[[#This Row],[Price]]/Table2[[#This Row],[Sellable Area
(Sq. ft)]]</f>
        <v>7850</v>
      </c>
      <c r="R46" s="209"/>
      <c r="S46" s="183"/>
      <c r="AF46" s="183"/>
      <c r="AG46" s="11"/>
      <c r="AH46" s="10"/>
      <c r="AI46" s="9"/>
      <c r="AJ46" s="9"/>
      <c r="AN46" s="183"/>
    </row>
    <row r="47" spans="1:40" ht="16.5" x14ac:dyDescent="0.35">
      <c r="A47" s="157" t="str">
        <f>IF(Table2[[#This Row],[Unit ]]="","","2 Bedroom")</f>
        <v>2 Bedroom</v>
      </c>
      <c r="B47" s="158" t="s">
        <v>21</v>
      </c>
      <c r="C47" s="159">
        <v>2503</v>
      </c>
      <c r="D47" s="160" t="s">
        <v>50</v>
      </c>
      <c r="E47" s="161">
        <f>IF(Table2[[#This Row],[Unit ]]="","",_xlfn.XLOOKUP(Table2[[#This Row],[Type]],'Muraba Veil Sale Summary'!A:A,'Muraba Veil Sale Summary'!P:P))</f>
        <v>2</v>
      </c>
      <c r="F47" s="162">
        <f>IF(Table2[[#This Row],[Unit ]]="","",_xlfn.XLOOKUP(Table2[[#This Row],[Type]],'Muraba Veil Sale Summary'!$A:$A,'Muraba Veil Sale Summary'!F:F))</f>
        <v>2218.7648507519998</v>
      </c>
      <c r="G47" s="162">
        <f>IF(Table2[[#This Row],[Unit ]]="","",_xlfn.XLOOKUP(Table2[[#This Row],[Type]],'Muraba Veil Sale Summary'!$A:$A,'Muraba Veil Sale Summary'!G:G))</f>
        <v>1619.322680576</v>
      </c>
      <c r="H47" s="162">
        <f t="shared" si="4"/>
        <v>3838.0875313279998</v>
      </c>
      <c r="I47" s="163">
        <f>'Launches Residences'!$U$7</f>
        <v>0.3</v>
      </c>
      <c r="J47" s="162">
        <f>IF(Table2[[#This Row],[Unit ]]="","",F47+(G47*Table2[[#This Row],[Terrace Area]]))</f>
        <v>2704.5616549247998</v>
      </c>
      <c r="K47" s="8">
        <f>_xlfn.XLOOKUP(Table2[[#This Row],[Unit ]],'Launches Residences'!$F$15:$F$71,'Launches Residences'!$J$15:$J$71)</f>
        <v>7850</v>
      </c>
      <c r="L47" s="8">
        <f t="shared" si="5"/>
        <v>21230808.991159678</v>
      </c>
      <c r="M47" s="3">
        <f>Table2[[#This Row],[Price/Sq.ft]]</f>
        <v>7850</v>
      </c>
      <c r="N47" s="8">
        <f>VLOOKUP(Table2[[#This Row],[Unit ]],'[1]Muraba Unit Wise Details '!$C$4:$L$67,10,FALSE)</f>
        <v>21230808.991159678</v>
      </c>
      <c r="O47" s="8">
        <f>Table2[[#This Row],[Column2]]-Table2[[#This Row],[Price]]</f>
        <v>0</v>
      </c>
      <c r="P47" s="8">
        <f>Table2[[#This Row],[Price]]/Table2[[#This Row],[Total Area
(Sq.ft)]]</f>
        <v>5531.611464789522</v>
      </c>
      <c r="Q47" s="162">
        <f>Table2[[#This Row],[Price]]/Table2[[#This Row],[Sellable Area
(Sq. ft)]]</f>
        <v>7850</v>
      </c>
      <c r="R47" s="209"/>
      <c r="S47" s="183"/>
      <c r="AF47" s="183"/>
      <c r="AG47" s="11"/>
      <c r="AH47" s="10"/>
      <c r="AI47" s="9"/>
      <c r="AJ47" s="9"/>
      <c r="AN47" s="183"/>
    </row>
    <row r="48" spans="1:40" ht="16.5" x14ac:dyDescent="0.35">
      <c r="A48" s="157" t="str">
        <f>IF(Table2[[#This Row],[Unit ]]="","","2 Bedroom")</f>
        <v>2 Bedroom</v>
      </c>
      <c r="B48" s="158" t="s">
        <v>21</v>
      </c>
      <c r="C48" s="159">
        <v>2602</v>
      </c>
      <c r="D48" s="160" t="s">
        <v>51</v>
      </c>
      <c r="E48" s="161">
        <f>IF(Table2[[#This Row],[Unit ]]="","",_xlfn.XLOOKUP(Table2[[#This Row],[Type]],'Muraba Veil Sale Summary'!A:A,'Muraba Veil Sale Summary'!P:P))</f>
        <v>2</v>
      </c>
      <c r="F48" s="162">
        <f>IF(Table2[[#This Row],[Unit ]]="","",_xlfn.XLOOKUP(Table2[[#This Row],[Type]],'Muraba Veil Sale Summary'!$A:$A,'Muraba Veil Sale Summary'!F:F))</f>
        <v>2218.7648507519998</v>
      </c>
      <c r="G48" s="162">
        <f>IF(Table2[[#This Row],[Unit ]]="","",_xlfn.XLOOKUP(Table2[[#This Row],[Type]],'Muraba Veil Sale Summary'!$A:$A,'Muraba Veil Sale Summary'!G:G))</f>
        <v>1619.322680576</v>
      </c>
      <c r="H48" s="162">
        <f t="shared" si="4"/>
        <v>3838.0875313279998</v>
      </c>
      <c r="I48" s="163">
        <f>'Launches Residences'!$U$7</f>
        <v>0.3</v>
      </c>
      <c r="J48" s="162">
        <f>IF(Table2[[#This Row],[Unit ]]="","",F48+(G48*Table2[[#This Row],[Terrace Area]]))</f>
        <v>2704.5616549247998</v>
      </c>
      <c r="K48" s="8">
        <f>_xlfn.XLOOKUP(Table2[[#This Row],[Unit ]],'Launches Residences'!$E$15:$E$71,'Launches Residences'!$I$15:$I$71)</f>
        <v>8000</v>
      </c>
      <c r="L48" s="8">
        <f t="shared" si="5"/>
        <v>21636493.239398398</v>
      </c>
      <c r="M48" s="3">
        <f>Table2[[#This Row],[Price/Sq.ft]]</f>
        <v>8000</v>
      </c>
      <c r="N48" s="8">
        <f>VLOOKUP(Table2[[#This Row],[Unit ]],'[1]Muraba Unit Wise Details '!$C$4:$L$67,10,FALSE)</f>
        <v>21636493.239398398</v>
      </c>
      <c r="O48" s="8">
        <f>Table2[[#This Row],[Column2]]-Table2[[#This Row],[Price]]</f>
        <v>0</v>
      </c>
      <c r="P48" s="8">
        <f>Table2[[#This Row],[Price]]/Table2[[#This Row],[Total Area
(Sq.ft)]]</f>
        <v>5637.3110469192579</v>
      </c>
      <c r="Q48" s="162">
        <f>Table2[[#This Row],[Price]]/Table2[[#This Row],[Sellable Area
(Sq. ft)]]</f>
        <v>8000</v>
      </c>
      <c r="R48" s="209"/>
      <c r="S48" s="183"/>
      <c r="AF48" s="183"/>
      <c r="AG48" s="11"/>
      <c r="AH48" s="10"/>
      <c r="AI48" s="9"/>
      <c r="AJ48" s="9"/>
      <c r="AN48" s="183"/>
    </row>
    <row r="49" spans="1:42" ht="16.5" x14ac:dyDescent="0.35">
      <c r="A49" s="157" t="str">
        <f>IF(Table2[[#This Row],[Unit ]]="","","2 Bedroom")</f>
        <v>2 Bedroom</v>
      </c>
      <c r="B49" s="158" t="s">
        <v>21</v>
      </c>
      <c r="C49" s="159">
        <v>2603</v>
      </c>
      <c r="D49" s="160" t="s">
        <v>51</v>
      </c>
      <c r="E49" s="161">
        <f>IF(Table2[[#This Row],[Unit ]]="","",_xlfn.XLOOKUP(Table2[[#This Row],[Type]],'Muraba Veil Sale Summary'!A:A,'Muraba Veil Sale Summary'!P:P))</f>
        <v>2</v>
      </c>
      <c r="F49" s="162">
        <f>IF(Table2[[#This Row],[Unit ]]="","",_xlfn.XLOOKUP(Table2[[#This Row],[Type]],'Muraba Veil Sale Summary'!$A:$A,'Muraba Veil Sale Summary'!F:F))</f>
        <v>2218.7648507519998</v>
      </c>
      <c r="G49" s="162">
        <f>IF(Table2[[#This Row],[Unit ]]="","",_xlfn.XLOOKUP(Table2[[#This Row],[Type]],'Muraba Veil Sale Summary'!$A:$A,'Muraba Veil Sale Summary'!G:G))</f>
        <v>1619.322680576</v>
      </c>
      <c r="H49" s="162">
        <f t="shared" si="4"/>
        <v>3838.0875313279998</v>
      </c>
      <c r="I49" s="163">
        <f>'Launches Residences'!$U$7</f>
        <v>0.3</v>
      </c>
      <c r="J49" s="162">
        <f>IF(Table2[[#This Row],[Unit ]]="","",F49+(G49*Table2[[#This Row],[Terrace Area]]))</f>
        <v>2704.5616549247998</v>
      </c>
      <c r="K49" s="8">
        <f>_xlfn.XLOOKUP(Table2[[#This Row],[Unit ]],'Launches Residences'!$F$15:$F$71,'Launches Residences'!$J$15:$J$71)</f>
        <v>8000</v>
      </c>
      <c r="L49" s="8">
        <f t="shared" si="5"/>
        <v>21636493.239398398</v>
      </c>
      <c r="M49" s="3">
        <f>Table2[[#This Row],[Price/Sq.ft]]</f>
        <v>8000</v>
      </c>
      <c r="N49" s="8">
        <f>VLOOKUP(Table2[[#This Row],[Unit ]],'[1]Muraba Unit Wise Details '!$C$4:$L$67,10,FALSE)</f>
        <v>21636493.239398398</v>
      </c>
      <c r="O49" s="8">
        <f>Table2[[#This Row],[Column2]]-Table2[[#This Row],[Price]]</f>
        <v>0</v>
      </c>
      <c r="P49" s="8">
        <f>Table2[[#This Row],[Price]]/Table2[[#This Row],[Total Area
(Sq.ft)]]</f>
        <v>5637.3110469192579</v>
      </c>
      <c r="Q49" s="162">
        <f>Table2[[#This Row],[Price]]/Table2[[#This Row],[Sellable Area
(Sq. ft)]]</f>
        <v>8000</v>
      </c>
      <c r="R49" s="209"/>
      <c r="S49" s="183"/>
      <c r="AF49" s="183"/>
      <c r="AG49" s="11"/>
      <c r="AH49" s="10"/>
      <c r="AI49" s="9"/>
      <c r="AJ49" s="9"/>
      <c r="AN49" s="183"/>
    </row>
    <row r="50" spans="1:42" ht="16.5" x14ac:dyDescent="0.35">
      <c r="A50" s="157" t="str">
        <f>IF(Table2[[#This Row],[Unit ]]="","","2 Bedroom")</f>
        <v>2 Bedroom</v>
      </c>
      <c r="B50" s="158" t="s">
        <v>36</v>
      </c>
      <c r="C50" s="159">
        <v>2702</v>
      </c>
      <c r="D50" s="160" t="s">
        <v>52</v>
      </c>
      <c r="E50" s="161">
        <f>IF(Table2[[#This Row],[Unit ]]="","",_xlfn.XLOOKUP(Table2[[#This Row],[Type]],'Muraba Veil Sale Summary'!A:A,'Muraba Veil Sale Summary'!P:P))</f>
        <v>2</v>
      </c>
      <c r="F50" s="162">
        <f>IF(Table2[[#This Row],[Unit ]]="","",_xlfn.XLOOKUP(Table2[[#This Row],[Type]],'Muraba Veil Sale Summary'!$A:$A,'Muraba Veil Sale Summary'!F:F))</f>
        <v>2218.7648507519998</v>
      </c>
      <c r="G50" s="162">
        <f>IF(Table2[[#This Row],[Unit ]]="","",_xlfn.XLOOKUP(Table2[[#This Row],[Type]],'Muraba Veil Sale Summary'!$A:$A,'Muraba Veil Sale Summary'!G:G))</f>
        <v>1619.322680576</v>
      </c>
      <c r="H50" s="162">
        <f t="shared" si="4"/>
        <v>3838.0875313279998</v>
      </c>
      <c r="I50" s="163">
        <f>'Launches Residences'!$U$7</f>
        <v>0.3</v>
      </c>
      <c r="J50" s="162">
        <f>IF(Table2[[#This Row],[Unit ]]="","",F50+(G50*Table2[[#This Row],[Terrace Area]]))</f>
        <v>2704.5616549247998</v>
      </c>
      <c r="K50" s="8">
        <f>_xlfn.XLOOKUP(Table2[[#This Row],[Unit ]],'Launches Residences'!$E$15:$E$71,'Launches Residences'!$I$15:$I$71)</f>
        <v>8150</v>
      </c>
      <c r="L50" s="8">
        <f t="shared" si="5"/>
        <v>22042177.487637118</v>
      </c>
      <c r="M50" s="3">
        <f>Table2[[#This Row],[Price/Sq.ft]]</f>
        <v>8150</v>
      </c>
      <c r="N50" s="8">
        <f>VLOOKUP(Table2[[#This Row],[Unit ]],'[1]Muraba Unit Wise Details '!$C$4:$L$67,10,FALSE)</f>
        <v>22042177.487637118</v>
      </c>
      <c r="O50" s="8">
        <f>Table2[[#This Row],[Column2]]-Table2[[#This Row],[Price]]</f>
        <v>0</v>
      </c>
      <c r="P50" s="8">
        <f>Table2[[#This Row],[Price]]/Table2[[#This Row],[Total Area
(Sq.ft)]]</f>
        <v>5743.0106290489939</v>
      </c>
      <c r="Q50" s="162">
        <f>Table2[[#This Row],[Price]]/Table2[[#This Row],[Sellable Area
(Sq. ft)]]</f>
        <v>8150</v>
      </c>
      <c r="R50" s="209"/>
      <c r="S50" s="183"/>
      <c r="AF50" s="183"/>
      <c r="AG50" s="11"/>
      <c r="AH50" s="10"/>
      <c r="AI50" s="9"/>
      <c r="AJ50" s="9"/>
      <c r="AN50" s="183"/>
    </row>
    <row r="51" spans="1:42" ht="16.5" x14ac:dyDescent="0.35">
      <c r="A51" s="157" t="str">
        <f>IF(Table2[[#This Row],[Unit ]]="","","2 Bedroom")</f>
        <v>2 Bedroom</v>
      </c>
      <c r="B51" s="158" t="s">
        <v>36</v>
      </c>
      <c r="C51" s="159">
        <v>2703</v>
      </c>
      <c r="D51" s="160" t="s">
        <v>52</v>
      </c>
      <c r="E51" s="161">
        <f>IF(Table2[[#This Row],[Unit ]]="","",_xlfn.XLOOKUP(Table2[[#This Row],[Type]],'Muraba Veil Sale Summary'!A:A,'Muraba Veil Sale Summary'!P:P))</f>
        <v>2</v>
      </c>
      <c r="F51" s="162">
        <f>IF(Table2[[#This Row],[Unit ]]="","",_xlfn.XLOOKUP(Table2[[#This Row],[Type]],'Muraba Veil Sale Summary'!$A:$A,'Muraba Veil Sale Summary'!F:F))</f>
        <v>2218.7648507519998</v>
      </c>
      <c r="G51" s="162">
        <f>IF(Table2[[#This Row],[Unit ]]="","",_xlfn.XLOOKUP(Table2[[#This Row],[Type]],'Muraba Veil Sale Summary'!$A:$A,'Muraba Veil Sale Summary'!G:G))</f>
        <v>1619.322680576</v>
      </c>
      <c r="H51" s="162">
        <f t="shared" si="4"/>
        <v>3838.0875313279998</v>
      </c>
      <c r="I51" s="163">
        <f>'Launches Residences'!$U$7</f>
        <v>0.3</v>
      </c>
      <c r="J51" s="162">
        <f>IF(Table2[[#This Row],[Unit ]]="","",F51+(G51*Table2[[#This Row],[Terrace Area]]))</f>
        <v>2704.5616549247998</v>
      </c>
      <c r="K51" s="8">
        <f>_xlfn.XLOOKUP(Table2[[#This Row],[Unit ]],'Launches Residences'!$F$15:$F$71,'Launches Residences'!$J$15:$J$71)</f>
        <v>8150</v>
      </c>
      <c r="L51" s="8">
        <f t="shared" si="5"/>
        <v>22042177.487637118</v>
      </c>
      <c r="M51" s="3">
        <f>Table2[[#This Row],[Price/Sq.ft]]</f>
        <v>8150</v>
      </c>
      <c r="N51" s="8">
        <f>VLOOKUP(Table2[[#This Row],[Unit ]],'[1]Muraba Unit Wise Details '!$C$4:$L$67,10,FALSE)</f>
        <v>22042177.487637118</v>
      </c>
      <c r="O51" s="8">
        <f>Table2[[#This Row],[Column2]]-Table2[[#This Row],[Price]]</f>
        <v>0</v>
      </c>
      <c r="P51" s="8">
        <f>Table2[[#This Row],[Price]]/Table2[[#This Row],[Total Area
(Sq.ft)]]</f>
        <v>5743.0106290489939</v>
      </c>
      <c r="Q51" s="162">
        <f>Table2[[#This Row],[Price]]/Table2[[#This Row],[Sellable Area
(Sq. ft)]]</f>
        <v>8150</v>
      </c>
      <c r="R51" s="209"/>
      <c r="S51" s="183"/>
      <c r="AF51" s="183"/>
      <c r="AG51" s="11"/>
      <c r="AH51" s="10"/>
      <c r="AI51" s="9"/>
      <c r="AJ51" s="9"/>
      <c r="AN51" s="183"/>
    </row>
    <row r="52" spans="1:42" ht="16.5" x14ac:dyDescent="0.35">
      <c r="A52" s="173" t="str">
        <f>IF(Table2[[#This Row],[Unit ]]="","","2 Bedroom")</f>
        <v>2 Bedroom</v>
      </c>
      <c r="B52" s="166" t="s">
        <v>19</v>
      </c>
      <c r="C52" s="165">
        <v>2802</v>
      </c>
      <c r="D52" s="167" t="s">
        <v>53</v>
      </c>
      <c r="E52" s="168">
        <f>IF(Table2[[#This Row],[Unit ]]="","",_xlfn.XLOOKUP(Table2[[#This Row],[Type]],'Muraba Veil Sale Summary'!A:A,'Muraba Veil Sale Summary'!P:P))</f>
        <v>2</v>
      </c>
      <c r="F52" s="169">
        <f>IF(Table2[[#This Row],[Unit ]]="","",_xlfn.XLOOKUP(Table2[[#This Row],[Type]],'Muraba Veil Sale Summary'!$A:$A,'Muraba Veil Sale Summary'!F:F))</f>
        <v>2218.7648507519998</v>
      </c>
      <c r="G52" s="169">
        <f>IF(Table2[[#This Row],[Unit ]]="","",_xlfn.XLOOKUP(Table2[[#This Row],[Type]],'Muraba Veil Sale Summary'!$A:$A,'Muraba Veil Sale Summary'!G:G))</f>
        <v>1619.322680576</v>
      </c>
      <c r="H52" s="169">
        <f t="shared" si="4"/>
        <v>3838.0875313279998</v>
      </c>
      <c r="I52" s="170">
        <f>'Launches Residences'!$U$7</f>
        <v>0.3</v>
      </c>
      <c r="J52" s="169">
        <f>IF(Table2[[#This Row],[Unit ]]="","",F52+(G52*Table2[[#This Row],[Terrace Area]]))</f>
        <v>2704.5616549247998</v>
      </c>
      <c r="K52" s="171">
        <f>_xlfn.XLOOKUP(Table2[[#This Row],[Unit ]],'Launches Residences'!$E$15:$E$71,'Launches Residences'!$I$15:$I$71)</f>
        <v>7600</v>
      </c>
      <c r="L52" s="171">
        <v>20554668.577428479</v>
      </c>
      <c r="M52" s="172">
        <f>Table2[[#This Row],[Price/Sq.ft]]</f>
        <v>7600</v>
      </c>
      <c r="N52" s="8">
        <f>VLOOKUP(Table2[[#This Row],[Unit ]],'[1]Muraba Unit Wise Details '!$C$4:$L$67,10,FALSE)</f>
        <v>20554668.577428479</v>
      </c>
      <c r="O52" s="8">
        <f>Table2[[#This Row],[Column2]]-Table2[[#This Row],[Price]]</f>
        <v>0</v>
      </c>
      <c r="P52" s="8">
        <f>Table2[[#This Row],[Price]]/Table2[[#This Row],[Total Area
(Sq.ft)]]</f>
        <v>5355.445494573295</v>
      </c>
      <c r="Q52" s="162">
        <f>Table2[[#This Row],[Price]]/Table2[[#This Row],[Sellable Area
(Sq. ft)]]</f>
        <v>7600</v>
      </c>
      <c r="R52" s="209"/>
      <c r="S52" s="183"/>
      <c r="AF52" s="183"/>
      <c r="AG52" s="11"/>
      <c r="AH52" s="10"/>
      <c r="AI52" s="9"/>
      <c r="AJ52" s="9"/>
      <c r="AN52" s="183"/>
    </row>
    <row r="53" spans="1:42" ht="16.5" x14ac:dyDescent="0.35">
      <c r="A53" s="157" t="str">
        <f>IF(Table2[[#This Row],[Unit ]]="","","2 Bedroom")</f>
        <v>2 Bedroom</v>
      </c>
      <c r="B53" s="158" t="s">
        <v>21</v>
      </c>
      <c r="C53" s="159">
        <v>2803</v>
      </c>
      <c r="D53" s="160" t="s">
        <v>53</v>
      </c>
      <c r="E53" s="161">
        <f>IF(Table2[[#This Row],[Unit ]]="","",_xlfn.XLOOKUP(Table2[[#This Row],[Type]],'Muraba Veil Sale Summary'!A:A,'Muraba Veil Sale Summary'!P:P))</f>
        <v>2</v>
      </c>
      <c r="F53" s="162">
        <f>IF(Table2[[#This Row],[Unit ]]="","",_xlfn.XLOOKUP(Table2[[#This Row],[Type]],'Muraba Veil Sale Summary'!$A:$A,'Muraba Veil Sale Summary'!F:F))</f>
        <v>2218.7648507519998</v>
      </c>
      <c r="G53" s="162">
        <f>IF(Table2[[#This Row],[Unit ]]="","",_xlfn.XLOOKUP(Table2[[#This Row],[Type]],'Muraba Veil Sale Summary'!$A:$A,'Muraba Veil Sale Summary'!G:G))</f>
        <v>1619.322680576</v>
      </c>
      <c r="H53" s="162">
        <f t="shared" si="4"/>
        <v>3838.0875313279998</v>
      </c>
      <c r="I53" s="163">
        <f>'Launches Residences'!$U$7</f>
        <v>0.3</v>
      </c>
      <c r="J53" s="162">
        <f>IF(Table2[[#This Row],[Unit ]]="","",F53+(G53*Table2[[#This Row],[Terrace Area]]))</f>
        <v>2704.5616549247998</v>
      </c>
      <c r="K53" s="8">
        <f>_xlfn.XLOOKUP(Table2[[#This Row],[Unit ]],'Launches Residences'!$F$15:$F$71,'Launches Residences'!$J$15:$J$71)</f>
        <v>7600</v>
      </c>
      <c r="L53" s="8">
        <f t="shared" ref="L53:L56" si="6">IFERROR(J53*K53,0)</f>
        <v>20554668.577428479</v>
      </c>
      <c r="M53" s="3">
        <f>Table2[[#This Row],[Price/Sq.ft]]</f>
        <v>7600</v>
      </c>
      <c r="N53" s="8">
        <f>VLOOKUP(Table2[[#This Row],[Unit ]],'[1]Muraba Unit Wise Details '!$C$4:$L$67,10,FALSE)</f>
        <v>22447861.735875838</v>
      </c>
      <c r="O53" s="8">
        <f>Table2[[#This Row],[Column2]]-Table2[[#This Row],[Price]]</f>
        <v>1893193.1584473588</v>
      </c>
      <c r="P53" s="8">
        <f>Table2[[#This Row],[Price]]/Table2[[#This Row],[Total Area
(Sq.ft)]]</f>
        <v>5355.445494573295</v>
      </c>
      <c r="Q53" s="162">
        <f>Table2[[#This Row],[Price]]/Table2[[#This Row],[Sellable Area
(Sq. ft)]]</f>
        <v>7600</v>
      </c>
      <c r="R53" s="209"/>
      <c r="S53" s="183"/>
      <c r="AF53" s="183"/>
      <c r="AG53" s="11"/>
      <c r="AH53" s="10"/>
      <c r="AI53" s="9"/>
      <c r="AJ53" s="9"/>
      <c r="AN53" s="183"/>
    </row>
    <row r="54" spans="1:42" ht="16.5" x14ac:dyDescent="0.35">
      <c r="A54" s="157" t="str">
        <f>IF(Table2[[#This Row],[Unit ]]="","","2 Bedroom")</f>
        <v>2 Bedroom</v>
      </c>
      <c r="B54" s="158" t="s">
        <v>36</v>
      </c>
      <c r="C54" s="159">
        <v>2902</v>
      </c>
      <c r="D54" s="160" t="s">
        <v>54</v>
      </c>
      <c r="E54" s="161">
        <f>IF(Table2[[#This Row],[Unit ]]="","",_xlfn.XLOOKUP(Table2[[#This Row],[Type]],'Muraba Veil Sale Summary'!A:A,'Muraba Veil Sale Summary'!P:P))</f>
        <v>2</v>
      </c>
      <c r="F54" s="162">
        <f>IF(Table2[[#This Row],[Unit ]]="","",_xlfn.XLOOKUP(Table2[[#This Row],[Type]],'Muraba Veil Sale Summary'!$A:$A,'Muraba Veil Sale Summary'!F:F))</f>
        <v>2218.7648507519998</v>
      </c>
      <c r="G54" s="162">
        <f>IF(Table2[[#This Row],[Unit ]]="","",_xlfn.XLOOKUP(Table2[[#This Row],[Type]],'Muraba Veil Sale Summary'!$A:$A,'Muraba Veil Sale Summary'!G:G))</f>
        <v>1619.322680576</v>
      </c>
      <c r="H54" s="162">
        <f t="shared" si="4"/>
        <v>3838.0875313279998</v>
      </c>
      <c r="I54" s="163">
        <f>'Launches Residences'!$U$7</f>
        <v>0.3</v>
      </c>
      <c r="J54" s="162">
        <f>IF(Table2[[#This Row],[Unit ]]="","",F54+(G54*Table2[[#This Row],[Terrace Area]]))</f>
        <v>2704.5616549247998</v>
      </c>
      <c r="K54" s="8">
        <f>_xlfn.XLOOKUP(Table2[[#This Row],[Unit ]],'Launches Residences'!$E$15:$E$71,'Launches Residences'!$I$15:$I$71)</f>
        <v>8450</v>
      </c>
      <c r="L54" s="8">
        <f t="shared" si="6"/>
        <v>22853545.984114558</v>
      </c>
      <c r="M54" s="3">
        <f>Table2[[#This Row],[Price/Sq.ft]]</f>
        <v>8450</v>
      </c>
      <c r="N54" s="8">
        <f>VLOOKUP(Table2[[#This Row],[Unit ]],'[1]Muraba Unit Wise Details '!$C$4:$L$67,10,FALSE)</f>
        <v>22853545.984114558</v>
      </c>
      <c r="O54" s="8">
        <f>Table2[[#This Row],[Column2]]-Table2[[#This Row],[Price]]</f>
        <v>0</v>
      </c>
      <c r="P54" s="8">
        <f>Table2[[#This Row],[Price]]/Table2[[#This Row],[Total Area
(Sq.ft)]]</f>
        <v>5954.4097933084668</v>
      </c>
      <c r="Q54" s="162">
        <f>Table2[[#This Row],[Price]]/Table2[[#This Row],[Sellable Area
(Sq. ft)]]</f>
        <v>8450</v>
      </c>
      <c r="R54" s="209"/>
      <c r="S54" s="183"/>
      <c r="AF54" s="183"/>
      <c r="AG54" s="11"/>
      <c r="AH54" s="10"/>
      <c r="AI54" s="9"/>
      <c r="AJ54" s="9"/>
      <c r="AN54" s="183"/>
    </row>
    <row r="55" spans="1:42" ht="16.5" x14ac:dyDescent="0.35">
      <c r="A55" s="157" t="str">
        <f>IF(Table2[[#This Row],[Unit ]]="","","2 Bedroom")</f>
        <v>2 Bedroom</v>
      </c>
      <c r="B55" s="158" t="s">
        <v>36</v>
      </c>
      <c r="C55" s="159">
        <v>2903</v>
      </c>
      <c r="D55" s="160" t="s">
        <v>54</v>
      </c>
      <c r="E55" s="161">
        <f>IF(Table2[[#This Row],[Unit ]]="","",_xlfn.XLOOKUP(Table2[[#This Row],[Type]],'Muraba Veil Sale Summary'!A:A,'Muraba Veil Sale Summary'!P:P))</f>
        <v>2</v>
      </c>
      <c r="F55" s="162">
        <f>IF(Table2[[#This Row],[Unit ]]="","",_xlfn.XLOOKUP(Table2[[#This Row],[Type]],'Muraba Veil Sale Summary'!$A:$A,'Muraba Veil Sale Summary'!F:F))</f>
        <v>2218.7648507519998</v>
      </c>
      <c r="G55" s="162">
        <f>IF(Table2[[#This Row],[Unit ]]="","",_xlfn.XLOOKUP(Table2[[#This Row],[Type]],'Muraba Veil Sale Summary'!$A:$A,'Muraba Veil Sale Summary'!G:G))</f>
        <v>1619.322680576</v>
      </c>
      <c r="H55" s="162">
        <f t="shared" si="4"/>
        <v>3838.0875313279998</v>
      </c>
      <c r="I55" s="163">
        <f>'Launches Residences'!$U$7</f>
        <v>0.3</v>
      </c>
      <c r="J55" s="162">
        <f>IF(Table2[[#This Row],[Unit ]]="","",F55+(G55*Table2[[#This Row],[Terrace Area]]))</f>
        <v>2704.5616549247998</v>
      </c>
      <c r="K55" s="8">
        <f>_xlfn.XLOOKUP(Table2[[#This Row],[Unit ]],'Launches Residences'!$F$15:$F$71,'Launches Residences'!$J$15:$J$71)</f>
        <v>8450</v>
      </c>
      <c r="L55" s="8">
        <f t="shared" si="6"/>
        <v>22853545.984114558</v>
      </c>
      <c r="M55" s="3">
        <f>Table2[[#This Row],[Price/Sq.ft]]</f>
        <v>8450</v>
      </c>
      <c r="N55" s="8">
        <f>VLOOKUP(Table2[[#This Row],[Unit ]],'[1]Muraba Unit Wise Details '!$C$4:$L$67,10,FALSE)</f>
        <v>22853545.984114558</v>
      </c>
      <c r="O55" s="8">
        <f>Table2[[#This Row],[Column2]]-Table2[[#This Row],[Price]]</f>
        <v>0</v>
      </c>
      <c r="P55" s="8">
        <f>Table2[[#This Row],[Price]]/Table2[[#This Row],[Total Area
(Sq.ft)]]</f>
        <v>5954.4097933084668</v>
      </c>
      <c r="Q55" s="162">
        <f>Table2[[#This Row],[Price]]/Table2[[#This Row],[Sellable Area
(Sq. ft)]]</f>
        <v>8450</v>
      </c>
      <c r="R55" s="209"/>
      <c r="S55" s="183"/>
      <c r="AF55" s="183"/>
      <c r="AG55" s="11"/>
      <c r="AH55" s="10"/>
      <c r="AI55" s="9"/>
      <c r="AJ55" s="9"/>
      <c r="AN55" s="183"/>
    </row>
    <row r="56" spans="1:42" ht="16.5" x14ac:dyDescent="0.35">
      <c r="A56" s="157" t="str">
        <f>IF(Table2[[#This Row],[Unit ]]="","","2 Bedroom")</f>
        <v>2 Bedroom</v>
      </c>
      <c r="B56" s="158" t="s">
        <v>21</v>
      </c>
      <c r="C56" s="159">
        <v>3002</v>
      </c>
      <c r="D56" s="160" t="s">
        <v>55</v>
      </c>
      <c r="E56" s="161">
        <f>IF(Table2[[#This Row],[Unit ]]="","",_xlfn.XLOOKUP(Table2[[#This Row],[Type]],'Muraba Veil Sale Summary'!A:A,'Muraba Veil Sale Summary'!P:P))</f>
        <v>2</v>
      </c>
      <c r="F56" s="162">
        <f>IF(Table2[[#This Row],[Unit ]]="","",_xlfn.XLOOKUP(Table2[[#This Row],[Type]],'Muraba Veil Sale Summary'!$A:$A,'Muraba Veil Sale Summary'!F:F))</f>
        <v>2218.7648507519998</v>
      </c>
      <c r="G56" s="162">
        <f>IF(Table2[[#This Row],[Unit ]]="","",_xlfn.XLOOKUP(Table2[[#This Row],[Type]],'Muraba Veil Sale Summary'!$A:$A,'Muraba Veil Sale Summary'!G:G))</f>
        <v>1619.322680576</v>
      </c>
      <c r="H56" s="162">
        <f t="shared" si="4"/>
        <v>3838.0875313279998</v>
      </c>
      <c r="I56" s="163">
        <f>'Launches Residences'!$U$7</f>
        <v>0.3</v>
      </c>
      <c r="J56" s="162">
        <f>IF(Table2[[#This Row],[Unit ]]="","",F56+(G56*Table2[[#This Row],[Terrace Area]]))</f>
        <v>2704.5616549247998</v>
      </c>
      <c r="K56" s="8">
        <f>_xlfn.XLOOKUP(Table2[[#This Row],[Unit ]],'Launches Residences'!$E$15:$E$71,'Launches Residences'!$I$15:$I$71)</f>
        <v>8600</v>
      </c>
      <c r="L56" s="8">
        <f t="shared" si="6"/>
        <v>23259230.232353278</v>
      </c>
      <c r="M56" s="3">
        <f>Table2[[#This Row],[Price/Sq.ft]]</f>
        <v>8600</v>
      </c>
      <c r="N56" s="8">
        <f>VLOOKUP(Table2[[#This Row],[Unit ]],'[1]Muraba Unit Wise Details '!$C$4:$L$67,10,FALSE)</f>
        <v>23259230.232353278</v>
      </c>
      <c r="O56" s="8">
        <f>Table2[[#This Row],[Column2]]-Table2[[#This Row],[Price]]</f>
        <v>0</v>
      </c>
      <c r="P56" s="8">
        <f>Table2[[#This Row],[Price]]/Table2[[#This Row],[Total Area
(Sq.ft)]]</f>
        <v>6060.1093754382027</v>
      </c>
      <c r="Q56" s="162">
        <f>Table2[[#This Row],[Price]]/Table2[[#This Row],[Sellable Area
(Sq. ft)]]</f>
        <v>8600</v>
      </c>
      <c r="R56" s="209"/>
      <c r="S56" s="183"/>
      <c r="AF56" s="183"/>
      <c r="AG56" s="11"/>
      <c r="AH56" s="10"/>
      <c r="AI56" s="9"/>
      <c r="AJ56" s="9"/>
      <c r="AN56" s="183"/>
    </row>
    <row r="57" spans="1:42" ht="16.5" x14ac:dyDescent="0.35">
      <c r="A57" s="173" t="str">
        <f>IF(Table2[[#This Row],[Unit ]]="","","2 Bedroom")</f>
        <v>2 Bedroom</v>
      </c>
      <c r="B57" s="166" t="s">
        <v>19</v>
      </c>
      <c r="C57" s="165">
        <v>3003</v>
      </c>
      <c r="D57" s="167" t="s">
        <v>55</v>
      </c>
      <c r="E57" s="168">
        <f>IF(Table2[[#This Row],[Unit ]]="","",_xlfn.XLOOKUP(Table2[[#This Row],[Type]],'Muraba Veil Sale Summary'!A:A,'Muraba Veil Sale Summary'!P:P))</f>
        <v>2</v>
      </c>
      <c r="F57" s="169">
        <f>IF(Table2[[#This Row],[Unit ]]="","",_xlfn.XLOOKUP(Table2[[#This Row],[Type]],'Muraba Veil Sale Summary'!$A:$A,'Muraba Veil Sale Summary'!F:F))</f>
        <v>2218.7648507519998</v>
      </c>
      <c r="G57" s="169">
        <f>IF(Table2[[#This Row],[Unit ]]="","",_xlfn.XLOOKUP(Table2[[#This Row],[Type]],'Muraba Veil Sale Summary'!$A:$A,'Muraba Veil Sale Summary'!G:G))</f>
        <v>1619.322680576</v>
      </c>
      <c r="H57" s="169">
        <f t="shared" si="4"/>
        <v>3838.0875313279998</v>
      </c>
      <c r="I57" s="170">
        <f>'Launches Residences'!$U$7</f>
        <v>0.3</v>
      </c>
      <c r="J57" s="169">
        <f>IF(Table2[[#This Row],[Unit ]]="","",F57+(G57*Table2[[#This Row],[Terrace Area]]))</f>
        <v>2704.5616549247998</v>
      </c>
      <c r="K57" s="171">
        <f>_xlfn.XLOOKUP(Table2[[#This Row],[Unit ]],'Launches Residences'!$F$15:$F$71,'Launches Residences'!$J$15:$J$71)</f>
        <v>8600</v>
      </c>
      <c r="L57" s="171">
        <f t="shared" ref="L57" si="7">J57*K57</f>
        <v>23259230.232353278</v>
      </c>
      <c r="M57" s="172">
        <f>Table2[[#This Row],[Price/Sq.ft]]</f>
        <v>8600</v>
      </c>
      <c r="N57" s="8">
        <f>VLOOKUP(Table2[[#This Row],[Unit ]],'[1]Muraba Unit Wise Details '!$C$4:$L$67,10,FALSE)</f>
        <v>23259230.232353278</v>
      </c>
      <c r="O57" s="8">
        <f>Table2[[#This Row],[Column2]]-Table2[[#This Row],[Price]]</f>
        <v>0</v>
      </c>
      <c r="P57" s="8">
        <f>Table2[[#This Row],[Price]]/Table2[[#This Row],[Total Area
(Sq.ft)]]</f>
        <v>6060.1093754382027</v>
      </c>
      <c r="Q57" s="162">
        <f>Table2[[#This Row],[Price]]/Table2[[#This Row],[Sellable Area
(Sq. ft)]]</f>
        <v>8600</v>
      </c>
      <c r="R57" s="209"/>
      <c r="S57" s="183"/>
      <c r="U57" s="160"/>
      <c r="AF57" s="183"/>
      <c r="AG57" s="11"/>
      <c r="AH57" s="10"/>
      <c r="AI57" s="9"/>
      <c r="AJ57" s="9"/>
      <c r="AL57" s="183"/>
      <c r="AM57" s="183"/>
      <c r="AN57" s="183"/>
    </row>
    <row r="58" spans="1:42" x14ac:dyDescent="0.35">
      <c r="A58" s="157" t="str">
        <f>IF(Table2[[#This Row],[Unit ]]="","","2 Bedroom")</f>
        <v>2 Bedroom</v>
      </c>
      <c r="B58" s="158" t="s">
        <v>21</v>
      </c>
      <c r="C58" s="159">
        <f>'Launches Residences'!E42</f>
        <v>3302</v>
      </c>
      <c r="D58" s="160" t="str">
        <f>LEFT(Table2[[#This Row],[Unit ]],2)</f>
        <v>33</v>
      </c>
      <c r="E58" s="161">
        <f>IF(Table2[[#This Row],[Unit ]]="","",_xlfn.XLOOKUP(Table2[[#This Row],[Type]],'Muraba Veil Sale Summary'!A:A,'Muraba Veil Sale Summary'!P:P))</f>
        <v>2</v>
      </c>
      <c r="F58" s="162">
        <f>IF(Table2[[#This Row],[Unit ]]="","",_xlfn.XLOOKUP(Table2[[#This Row],[Type]],'Muraba Veil Sale Summary'!$A:$A,'Muraba Veil Sale Summary'!F:F))</f>
        <v>2218.7648507519998</v>
      </c>
      <c r="G58" s="162">
        <f>IF(Table2[[#This Row],[Unit ]]="","",_xlfn.XLOOKUP(Table2[[#This Row],[Type]],'Muraba Veil Sale Summary'!$A:$A,'Muraba Veil Sale Summary'!G:G))</f>
        <v>1619.322680576</v>
      </c>
      <c r="H58" s="162">
        <f t="shared" si="4"/>
        <v>3838.0875313279998</v>
      </c>
      <c r="I58" s="163">
        <f>'Launches Residences'!$U$7</f>
        <v>0.3</v>
      </c>
      <c r="J58" s="162">
        <f>IF(Table2[[#This Row],[Unit ]]="","",F58+(G58*Table2[[#This Row],[Terrace Area]]))</f>
        <v>2704.5616549247998</v>
      </c>
      <c r="K58" s="8">
        <f>_xlfn.XLOOKUP(Table2[[#This Row],[Unit ]],'Launches Residences'!$E$15:$E$71,'Launches Residences'!$I$15:$I$71)</f>
        <v>8750</v>
      </c>
      <c r="L58" s="8">
        <f t="shared" ref="L58:L81" si="8">IFERROR(J58*K58,0)</f>
        <v>23664914.480591998</v>
      </c>
      <c r="M58" s="3">
        <f>Table2[[#This Row],[Price/Sq.ft]]</f>
        <v>8750</v>
      </c>
      <c r="N58" s="8">
        <f>VLOOKUP(Table2[[#This Row],[Unit ]],'[1]Muraba Unit Wise Details '!$C$4:$L$67,10,FALSE)</f>
        <v>24476282.977069438</v>
      </c>
      <c r="O58" s="8">
        <f>Table2[[#This Row],[Column2]]-Table2[[#This Row],[Price]]</f>
        <v>811368.49647744</v>
      </c>
      <c r="P58" s="8">
        <f>Table2[[#This Row],[Price]]/Table2[[#This Row],[Total Area
(Sq.ft)]]</f>
        <v>6165.8089575679387</v>
      </c>
      <c r="Q58" s="162">
        <f>Table2[[#This Row],[Price]]/Table2[[#This Row],[Sellable Area
(Sq. ft)]]</f>
        <v>8750</v>
      </c>
      <c r="R58" s="209"/>
      <c r="S58" s="183"/>
      <c r="U58" s="160"/>
      <c r="AA58" s="183"/>
      <c r="AB58" s="183"/>
      <c r="AC58" s="11"/>
      <c r="AE58" s="183"/>
      <c r="AF58" s="12"/>
      <c r="AG58" s="11"/>
      <c r="AJ58" s="9"/>
      <c r="AL58" s="9"/>
      <c r="AN58" s="183"/>
    </row>
    <row r="59" spans="1:42" x14ac:dyDescent="0.35">
      <c r="A59" s="157" t="str">
        <f>IF(Table2[[#This Row],[Unit ]]="","","2 Bedroom")</f>
        <v>2 Bedroom</v>
      </c>
      <c r="B59" s="158" t="s">
        <v>21</v>
      </c>
      <c r="C59" s="159">
        <f>'Launches Residences'!F42</f>
        <v>3303</v>
      </c>
      <c r="D59" s="160" t="str">
        <f>LEFT(Table2[[#This Row],[Unit ]],2)</f>
        <v>33</v>
      </c>
      <c r="E59" s="161">
        <f>IF(Table2[[#This Row],[Unit ]]="","",_xlfn.XLOOKUP(Table2[[#This Row],[Type]],'Muraba Veil Sale Summary'!A:A,'Muraba Veil Sale Summary'!P:P))</f>
        <v>2</v>
      </c>
      <c r="F59" s="162">
        <f>IF(Table2[[#This Row],[Unit ]]="","",_xlfn.XLOOKUP(Table2[[#This Row],[Type]],'Muraba Veil Sale Summary'!$A:$A,'Muraba Veil Sale Summary'!F:F))</f>
        <v>2218.7648507519998</v>
      </c>
      <c r="G59" s="162">
        <f>IF(Table2[[#This Row],[Unit ]]="","",_xlfn.XLOOKUP(Table2[[#This Row],[Type]],'Muraba Veil Sale Summary'!$A:$A,'Muraba Veil Sale Summary'!G:G))</f>
        <v>1619.322680576</v>
      </c>
      <c r="H59" s="162">
        <f t="shared" si="4"/>
        <v>3838.0875313279998</v>
      </c>
      <c r="I59" s="163">
        <f>'Launches Residences'!$U$7</f>
        <v>0.3</v>
      </c>
      <c r="J59" s="162">
        <f>IF(Table2[[#This Row],[Unit ]]="","",F59+(G59*Table2[[#This Row],[Terrace Area]]))</f>
        <v>2704.5616549247998</v>
      </c>
      <c r="K59" s="8">
        <f>_xlfn.XLOOKUP(Table2[[#This Row],[Unit ]],'Launches Residences'!$F$15:$F$71,'Launches Residences'!$J$15:$J$71)</f>
        <v>8750</v>
      </c>
      <c r="L59" s="8">
        <f t="shared" si="8"/>
        <v>23664914.480591998</v>
      </c>
      <c r="M59" s="3">
        <f>Table2[[#This Row],[Price/Sq.ft]]</f>
        <v>8750</v>
      </c>
      <c r="N59" s="8">
        <f>VLOOKUP(Table2[[#This Row],[Unit ]],'[1]Muraba Unit Wise Details '!$C$4:$L$67,10,FALSE)</f>
        <v>24476282.977069438</v>
      </c>
      <c r="O59" s="8">
        <f>Table2[[#This Row],[Column2]]-Table2[[#This Row],[Price]]</f>
        <v>811368.49647744</v>
      </c>
      <c r="P59" s="8">
        <f>Table2[[#This Row],[Price]]/Table2[[#This Row],[Total Area
(Sq.ft)]]</f>
        <v>6165.8089575679387</v>
      </c>
      <c r="Q59" s="162">
        <f>Table2[[#This Row],[Price]]/Table2[[#This Row],[Sellable Area
(Sq. ft)]]</f>
        <v>8750</v>
      </c>
      <c r="R59" s="209"/>
      <c r="S59" s="183"/>
      <c r="U59" s="160"/>
      <c r="AC59" s="11"/>
      <c r="AE59" s="183"/>
      <c r="AF59" s="12"/>
      <c r="AG59" s="11"/>
      <c r="AH59" s="9"/>
      <c r="AK59" s="9"/>
      <c r="AL59" s="183"/>
      <c r="AM59" s="183"/>
      <c r="AN59" s="183"/>
      <c r="AP59" s="186"/>
    </row>
    <row r="60" spans="1:42" x14ac:dyDescent="0.35">
      <c r="A60" s="157" t="str">
        <f>IF(Table2[[#This Row],[Unit ]]="","","2 Bedroom")</f>
        <v>2 Bedroom</v>
      </c>
      <c r="B60" s="158" t="s">
        <v>21</v>
      </c>
      <c r="C60" s="159">
        <f>'Launches Residences'!E43</f>
        <v>3402</v>
      </c>
      <c r="D60" s="160" t="str">
        <f>LEFT(Table2[[#This Row],[Unit ]],2)</f>
        <v>34</v>
      </c>
      <c r="E60" s="161">
        <f>IF(Table2[[#This Row],[Unit ]]="","",_xlfn.XLOOKUP(Table2[[#This Row],[Type]],'Muraba Veil Sale Summary'!A:A,'Muraba Veil Sale Summary'!P:P))</f>
        <v>2</v>
      </c>
      <c r="F60" s="162">
        <f>IF(Table2[[#This Row],[Unit ]]="","",_xlfn.XLOOKUP(Table2[[#This Row],[Type]],'Muraba Veil Sale Summary'!$A:$A,'Muraba Veil Sale Summary'!F:F))</f>
        <v>2218.7648507519998</v>
      </c>
      <c r="G60" s="162">
        <f>IF(Table2[[#This Row],[Unit ]]="","",_xlfn.XLOOKUP(Table2[[#This Row],[Type]],'Muraba Veil Sale Summary'!$A:$A,'Muraba Veil Sale Summary'!G:G))</f>
        <v>1619.322680576</v>
      </c>
      <c r="H60" s="162">
        <f t="shared" si="4"/>
        <v>3838.0875313279998</v>
      </c>
      <c r="I60" s="163">
        <f>'Launches Residences'!$U$7</f>
        <v>0.3</v>
      </c>
      <c r="J60" s="162">
        <f>IF(Table2[[#This Row],[Unit ]]="","",F60+(G60*Table2[[#This Row],[Terrace Area]]))</f>
        <v>2704.5616549247998</v>
      </c>
      <c r="K60" s="8">
        <f>_xlfn.XLOOKUP(Table2[[#This Row],[Unit ]],'Launches Residences'!$E$15:$E$71,'Launches Residences'!$I$15:$I$71)</f>
        <v>8900</v>
      </c>
      <c r="L60" s="8">
        <f t="shared" si="8"/>
        <v>24070598.728830718</v>
      </c>
      <c r="M60" s="3">
        <f>Table2[[#This Row],[Price/Sq.ft]]</f>
        <v>8900</v>
      </c>
      <c r="N60" s="8">
        <f>VLOOKUP(Table2[[#This Row],[Unit ]],'[1]Muraba Unit Wise Details '!$C$4:$L$67,10,FALSE)</f>
        <v>24881967.225308158</v>
      </c>
      <c r="O60" s="8">
        <f>Table2[[#This Row],[Column2]]-Table2[[#This Row],[Price]]</f>
        <v>811368.49647744</v>
      </c>
      <c r="P60" s="8">
        <f>Table2[[#This Row],[Price]]/Table2[[#This Row],[Total Area
(Sq.ft)]]</f>
        <v>6271.5085396976747</v>
      </c>
      <c r="Q60" s="162">
        <f>Table2[[#This Row],[Price]]/Table2[[#This Row],[Sellable Area
(Sq. ft)]]</f>
        <v>8900</v>
      </c>
      <c r="R60" s="209"/>
      <c r="S60" s="183"/>
      <c r="U60" s="160"/>
      <c r="AC60" s="11"/>
      <c r="AE60" s="183"/>
      <c r="AF60" s="12"/>
      <c r="AG60" s="11"/>
      <c r="AH60" s="9"/>
      <c r="AL60" s="187"/>
      <c r="AM60" s="187"/>
      <c r="AN60" s="183"/>
    </row>
    <row r="61" spans="1:42" x14ac:dyDescent="0.35">
      <c r="A61" s="157" t="str">
        <f>IF(Table2[[#This Row],[Unit ]]="","","2 Bedroom")</f>
        <v>2 Bedroom</v>
      </c>
      <c r="B61" s="158" t="s">
        <v>21</v>
      </c>
      <c r="C61" s="159">
        <f>'Launches Residences'!F43</f>
        <v>3403</v>
      </c>
      <c r="D61" s="160" t="str">
        <f>LEFT(Table2[[#This Row],[Unit ]],2)</f>
        <v>34</v>
      </c>
      <c r="E61" s="161">
        <f>IF(Table2[[#This Row],[Unit ]]="","",_xlfn.XLOOKUP(Table2[[#This Row],[Type]],'Muraba Veil Sale Summary'!A:A,'Muraba Veil Sale Summary'!P:P))</f>
        <v>2</v>
      </c>
      <c r="F61" s="162">
        <f>IF(Table2[[#This Row],[Unit ]]="","",_xlfn.XLOOKUP(Table2[[#This Row],[Type]],'Muraba Veil Sale Summary'!$A:$A,'Muraba Veil Sale Summary'!F:F))</f>
        <v>2218.7648507519998</v>
      </c>
      <c r="G61" s="162">
        <f>IF(Table2[[#This Row],[Unit ]]="","",_xlfn.XLOOKUP(Table2[[#This Row],[Type]],'Muraba Veil Sale Summary'!$A:$A,'Muraba Veil Sale Summary'!G:G))</f>
        <v>1619.322680576</v>
      </c>
      <c r="H61" s="162">
        <f t="shared" si="4"/>
        <v>3838.0875313279998</v>
      </c>
      <c r="I61" s="163">
        <f>'Launches Residences'!$U$7</f>
        <v>0.3</v>
      </c>
      <c r="J61" s="162">
        <f>IF(Table2[[#This Row],[Unit ]]="","",F61+(G61*Table2[[#This Row],[Terrace Area]]))</f>
        <v>2704.5616549247998</v>
      </c>
      <c r="K61" s="8">
        <f>_xlfn.XLOOKUP(Table2[[#This Row],[Unit ]],'Launches Residences'!$F$15:$F$71,'Launches Residences'!$J$15:$J$71)</f>
        <v>8900</v>
      </c>
      <c r="L61" s="8">
        <f t="shared" si="8"/>
        <v>24070598.728830718</v>
      </c>
      <c r="M61" s="3">
        <f>Table2[[#This Row],[Price/Sq.ft]]</f>
        <v>8900</v>
      </c>
      <c r="N61" s="8">
        <f>VLOOKUP(Table2[[#This Row],[Unit ]],'[1]Muraba Unit Wise Details '!$C$4:$L$67,10,FALSE)</f>
        <v>24881967.225308158</v>
      </c>
      <c r="O61" s="8">
        <f>Table2[[#This Row],[Column2]]-Table2[[#This Row],[Price]]</f>
        <v>811368.49647744</v>
      </c>
      <c r="P61" s="8">
        <f>Table2[[#This Row],[Price]]/Table2[[#This Row],[Total Area
(Sq.ft)]]</f>
        <v>6271.5085396976747</v>
      </c>
      <c r="Q61" s="162">
        <f>Table2[[#This Row],[Price]]/Table2[[#This Row],[Sellable Area
(Sq. ft)]]</f>
        <v>8900</v>
      </c>
      <c r="R61" s="209"/>
      <c r="S61" s="183"/>
      <c r="U61" s="160"/>
      <c r="AC61" s="11"/>
      <c r="AE61" s="183"/>
      <c r="AF61" s="12"/>
      <c r="AG61" s="11"/>
      <c r="AH61" s="9"/>
      <c r="AN61" s="183"/>
    </row>
    <row r="62" spans="1:42" x14ac:dyDescent="0.35">
      <c r="A62" s="157" t="str">
        <f>IF(Table2[[#This Row],[Unit ]]="","","2 Bedroom")</f>
        <v>2 Bedroom</v>
      </c>
      <c r="B62" s="158" t="s">
        <v>21</v>
      </c>
      <c r="C62" s="159">
        <f>'Launches Residences'!E44</f>
        <v>3502</v>
      </c>
      <c r="D62" s="160" t="str">
        <f>LEFT(Table2[[#This Row],[Unit ]],2)</f>
        <v>35</v>
      </c>
      <c r="E62" s="161">
        <f>IF(Table2[[#This Row],[Unit ]]="","",_xlfn.XLOOKUP(Table2[[#This Row],[Type]],'Muraba Veil Sale Summary'!A:A,'Muraba Veil Sale Summary'!P:P))</f>
        <v>2</v>
      </c>
      <c r="F62" s="162">
        <f>IF(Table2[[#This Row],[Unit ]]="","",_xlfn.XLOOKUP(Table2[[#This Row],[Type]],'Muraba Veil Sale Summary'!$A:$A,'Muraba Veil Sale Summary'!F:F))</f>
        <v>2218.7648507519998</v>
      </c>
      <c r="G62" s="162">
        <f>IF(Table2[[#This Row],[Unit ]]="","",_xlfn.XLOOKUP(Table2[[#This Row],[Type]],'Muraba Veil Sale Summary'!$A:$A,'Muraba Veil Sale Summary'!G:G))</f>
        <v>1619.322680576</v>
      </c>
      <c r="H62" s="162">
        <f t="shared" si="4"/>
        <v>3838.0875313279998</v>
      </c>
      <c r="I62" s="163">
        <f>'Launches Residences'!$U$7</f>
        <v>0.3</v>
      </c>
      <c r="J62" s="162">
        <f>IF(Table2[[#This Row],[Unit ]]="","",F62+(G62*Table2[[#This Row],[Terrace Area]]))</f>
        <v>2704.5616549247998</v>
      </c>
      <c r="K62" s="8">
        <f>_xlfn.XLOOKUP(Table2[[#This Row],[Unit ]],'Launches Residences'!$E$15:$E$71,'Launches Residences'!$I$15:$I$71)</f>
        <v>9050</v>
      </c>
      <c r="L62" s="8">
        <f t="shared" si="8"/>
        <v>24476282.977069438</v>
      </c>
      <c r="M62" s="3">
        <f>Table2[[#This Row],[Price/Sq.ft]]</f>
        <v>9050</v>
      </c>
      <c r="N62" s="8">
        <f>VLOOKUP(Table2[[#This Row],[Unit ]],'[1]Muraba Unit Wise Details '!$C$4:$L$67,10,FALSE)</f>
        <v>25287651.473546878</v>
      </c>
      <c r="O62" s="8">
        <f>Table2[[#This Row],[Column2]]-Table2[[#This Row],[Price]]</f>
        <v>811368.49647744</v>
      </c>
      <c r="P62" s="8">
        <f>Table2[[#This Row],[Price]]/Table2[[#This Row],[Total Area
(Sq.ft)]]</f>
        <v>6377.2081218274107</v>
      </c>
      <c r="Q62" s="162">
        <f>Table2[[#This Row],[Price]]/Table2[[#This Row],[Sellable Area
(Sq. ft)]]</f>
        <v>9050</v>
      </c>
      <c r="R62" s="209"/>
      <c r="S62" s="183"/>
      <c r="U62" s="160"/>
      <c r="AC62" s="11"/>
      <c r="AE62" s="183"/>
      <c r="AF62" s="12"/>
      <c r="AG62" s="11"/>
      <c r="AH62" s="9"/>
      <c r="AN62" s="183"/>
    </row>
    <row r="63" spans="1:42" x14ac:dyDescent="0.35">
      <c r="A63" s="157" t="str">
        <f>IF(Table2[[#This Row],[Unit ]]="","","2 Bedroom")</f>
        <v>2 Bedroom</v>
      </c>
      <c r="B63" s="158" t="s">
        <v>21</v>
      </c>
      <c r="C63" s="159">
        <f>'Launches Residences'!F44</f>
        <v>3503</v>
      </c>
      <c r="D63" s="160" t="str">
        <f>LEFT(Table2[[#This Row],[Unit ]],2)</f>
        <v>35</v>
      </c>
      <c r="E63" s="161">
        <f>IF(Table2[[#This Row],[Unit ]]="","",_xlfn.XLOOKUP(Table2[[#This Row],[Type]],'Muraba Veil Sale Summary'!A:A,'Muraba Veil Sale Summary'!P:P))</f>
        <v>2</v>
      </c>
      <c r="F63" s="162">
        <f>IF(Table2[[#This Row],[Unit ]]="","",_xlfn.XLOOKUP(Table2[[#This Row],[Type]],'Muraba Veil Sale Summary'!$A:$A,'Muraba Veil Sale Summary'!F:F))</f>
        <v>2218.7648507519998</v>
      </c>
      <c r="G63" s="162">
        <f>IF(Table2[[#This Row],[Unit ]]="","",_xlfn.XLOOKUP(Table2[[#This Row],[Type]],'Muraba Veil Sale Summary'!$A:$A,'Muraba Veil Sale Summary'!G:G))</f>
        <v>1619.322680576</v>
      </c>
      <c r="H63" s="162">
        <f t="shared" si="4"/>
        <v>3838.0875313279998</v>
      </c>
      <c r="I63" s="163">
        <f>'Launches Residences'!$U$7</f>
        <v>0.3</v>
      </c>
      <c r="J63" s="162">
        <f>IF(Table2[[#This Row],[Unit ]]="","",F63+(G63*Table2[[#This Row],[Terrace Area]]))</f>
        <v>2704.5616549247998</v>
      </c>
      <c r="K63" s="8">
        <f>_xlfn.XLOOKUP(Table2[[#This Row],[Unit ]],'Launches Residences'!$F$15:$F$71,'Launches Residences'!$J$15:$J$71)</f>
        <v>9050</v>
      </c>
      <c r="L63" s="8">
        <f t="shared" si="8"/>
        <v>24476282.977069438</v>
      </c>
      <c r="M63" s="3">
        <f>Table2[[#This Row],[Price/Sq.ft]]</f>
        <v>9050</v>
      </c>
      <c r="N63" s="8">
        <f>VLOOKUP(Table2[[#This Row],[Unit ]],'[1]Muraba Unit Wise Details '!$C$4:$L$67,10,FALSE)</f>
        <v>25287651.473546878</v>
      </c>
      <c r="O63" s="8">
        <f>Table2[[#This Row],[Column2]]-Table2[[#This Row],[Price]]</f>
        <v>811368.49647744</v>
      </c>
      <c r="P63" s="8">
        <f>Table2[[#This Row],[Price]]/Table2[[#This Row],[Total Area
(Sq.ft)]]</f>
        <v>6377.2081218274107</v>
      </c>
      <c r="Q63" s="162">
        <f>Table2[[#This Row],[Price]]/Table2[[#This Row],[Sellable Area
(Sq. ft)]]</f>
        <v>9050</v>
      </c>
      <c r="R63" s="209"/>
      <c r="S63" s="183"/>
      <c r="U63" s="160"/>
      <c r="AC63" s="11"/>
      <c r="AE63" s="183"/>
      <c r="AF63" s="12"/>
      <c r="AG63" s="11"/>
      <c r="AH63" s="9"/>
      <c r="AN63" s="183"/>
    </row>
    <row r="64" spans="1:42" x14ac:dyDescent="0.35">
      <c r="A64" s="157" t="str">
        <f>IF(Table2[[#This Row],[Unit ]]="","","2 Bedroom")</f>
        <v>2 Bedroom</v>
      </c>
      <c r="B64" s="158" t="s">
        <v>21</v>
      </c>
      <c r="C64" s="159">
        <f>'Launches Residences'!E45</f>
        <v>3602</v>
      </c>
      <c r="D64" s="160" t="str">
        <f>LEFT(Table2[[#This Row],[Unit ]],2)</f>
        <v>36</v>
      </c>
      <c r="E64" s="161">
        <f>IF(Table2[[#This Row],[Unit ]]="","",_xlfn.XLOOKUP(Table2[[#This Row],[Type]],'Muraba Veil Sale Summary'!A:A,'Muraba Veil Sale Summary'!P:P))</f>
        <v>2</v>
      </c>
      <c r="F64" s="162">
        <f>IF(Table2[[#This Row],[Unit ]]="","",_xlfn.XLOOKUP(Table2[[#This Row],[Type]],'Muraba Veil Sale Summary'!$A:$A,'Muraba Veil Sale Summary'!F:F))</f>
        <v>2218.7648507519998</v>
      </c>
      <c r="G64" s="162">
        <f>IF(Table2[[#This Row],[Unit ]]="","",_xlfn.XLOOKUP(Table2[[#This Row],[Type]],'Muraba Veil Sale Summary'!$A:$A,'Muraba Veil Sale Summary'!G:G))</f>
        <v>1619.322680576</v>
      </c>
      <c r="H64" s="162">
        <f t="shared" si="4"/>
        <v>3838.0875313279998</v>
      </c>
      <c r="I64" s="163">
        <f>'Launches Residences'!$U$7</f>
        <v>0.3</v>
      </c>
      <c r="J64" s="162">
        <f>IF(Table2[[#This Row],[Unit ]]="","",F64+(G64*Table2[[#This Row],[Terrace Area]]))</f>
        <v>2704.5616549247998</v>
      </c>
      <c r="K64" s="8">
        <f>_xlfn.XLOOKUP(Table2[[#This Row],[Unit ]],'Launches Residences'!$E$15:$E$71,'Launches Residences'!$I$15:$I$71)</f>
        <v>9200</v>
      </c>
      <c r="L64" s="8">
        <f t="shared" si="8"/>
        <v>24881967.225308158</v>
      </c>
      <c r="M64" s="3">
        <f>Table2[[#This Row],[Price/Sq.ft]]</f>
        <v>9200</v>
      </c>
      <c r="N64" s="8" t="e">
        <f>VLOOKUP(Table2[[#This Row],[Unit ]],'[1]Muraba Unit Wise Details '!$C$4:$L$67,10,FALSE)</f>
        <v>#N/A</v>
      </c>
      <c r="O64" s="8" t="e">
        <f>Table2[[#This Row],[Column2]]-Table2[[#This Row],[Price]]</f>
        <v>#N/A</v>
      </c>
      <c r="P64" s="8">
        <f>Table2[[#This Row],[Price]]/Table2[[#This Row],[Total Area
(Sq.ft)]]</f>
        <v>6482.9077039571466</v>
      </c>
      <c r="Q64" s="162">
        <f>Table2[[#This Row],[Price]]/Table2[[#This Row],[Sellable Area
(Sq. ft)]]</f>
        <v>9200</v>
      </c>
      <c r="R64" s="209"/>
      <c r="S64" s="183"/>
      <c r="U64" s="160"/>
      <c r="AC64" s="11"/>
      <c r="AE64" s="183"/>
      <c r="AF64" s="12"/>
      <c r="AG64" s="11"/>
      <c r="AH64" s="9"/>
      <c r="AN64" s="183"/>
    </row>
    <row r="65" spans="1:40" x14ac:dyDescent="0.35">
      <c r="A65" s="157" t="str">
        <f>IF(Table2[[#This Row],[Unit ]]="","","2 Bedroom")</f>
        <v>2 Bedroom</v>
      </c>
      <c r="B65" s="158" t="s">
        <v>21</v>
      </c>
      <c r="C65" s="159">
        <f>'Launches Residences'!F45</f>
        <v>3603</v>
      </c>
      <c r="D65" s="160" t="str">
        <f>LEFT(Table2[[#This Row],[Unit ]],2)</f>
        <v>36</v>
      </c>
      <c r="E65" s="161">
        <f>IF(Table2[[#This Row],[Unit ]]="","",_xlfn.XLOOKUP(Table2[[#This Row],[Type]],'Muraba Veil Sale Summary'!A:A,'Muraba Veil Sale Summary'!P:P))</f>
        <v>2</v>
      </c>
      <c r="F65" s="162">
        <f>IF(Table2[[#This Row],[Unit ]]="","",_xlfn.XLOOKUP(Table2[[#This Row],[Type]],'Muraba Veil Sale Summary'!$A:$A,'Muraba Veil Sale Summary'!F:F))</f>
        <v>2218.7648507519998</v>
      </c>
      <c r="G65" s="162">
        <f>IF(Table2[[#This Row],[Unit ]]="","",_xlfn.XLOOKUP(Table2[[#This Row],[Type]],'Muraba Veil Sale Summary'!$A:$A,'Muraba Veil Sale Summary'!G:G))</f>
        <v>1619.322680576</v>
      </c>
      <c r="H65" s="162">
        <f t="shared" si="4"/>
        <v>3838.0875313279998</v>
      </c>
      <c r="I65" s="163">
        <f>'Launches Residences'!$U$7</f>
        <v>0.3</v>
      </c>
      <c r="J65" s="162">
        <f>IF(Table2[[#This Row],[Unit ]]="","",F65+(G65*Table2[[#This Row],[Terrace Area]]))</f>
        <v>2704.5616549247998</v>
      </c>
      <c r="K65" s="8">
        <f>_xlfn.XLOOKUP(Table2[[#This Row],[Unit ]],'Launches Residences'!$F$15:$F$71,'Launches Residences'!$J$15:$J$71)</f>
        <v>9200</v>
      </c>
      <c r="L65" s="8">
        <f t="shared" si="8"/>
        <v>24881967.225308158</v>
      </c>
      <c r="M65" s="3">
        <f>Table2[[#This Row],[Price/Sq.ft]]</f>
        <v>9200</v>
      </c>
      <c r="N65" s="8" t="e">
        <f>VLOOKUP(Table2[[#This Row],[Unit ]],'[1]Muraba Unit Wise Details '!$C$4:$L$67,10,FALSE)</f>
        <v>#N/A</v>
      </c>
      <c r="O65" s="8" t="e">
        <f>Table2[[#This Row],[Column2]]-Table2[[#This Row],[Price]]</f>
        <v>#N/A</v>
      </c>
      <c r="P65" s="8">
        <f>Table2[[#This Row],[Price]]/Table2[[#This Row],[Total Area
(Sq.ft)]]</f>
        <v>6482.9077039571466</v>
      </c>
      <c r="Q65" s="162">
        <f>Table2[[#This Row],[Price]]/Table2[[#This Row],[Sellable Area
(Sq. ft)]]</f>
        <v>9200</v>
      </c>
      <c r="R65" s="209"/>
      <c r="S65" s="183"/>
      <c r="U65" s="160"/>
      <c r="AC65" s="11"/>
      <c r="AE65" s="183"/>
      <c r="AF65" s="12"/>
      <c r="AG65" s="11"/>
      <c r="AH65" s="9"/>
      <c r="AN65" s="183"/>
    </row>
    <row r="66" spans="1:40" x14ac:dyDescent="0.35">
      <c r="A66" s="157" t="str">
        <f>IF(Table2[[#This Row],[Unit ]]="","","2 Bedroom")</f>
        <v>2 Bedroom</v>
      </c>
      <c r="B66" s="158" t="s">
        <v>21</v>
      </c>
      <c r="C66" s="159">
        <f>'Launches Residences'!E46</f>
        <v>3702</v>
      </c>
      <c r="D66" s="160" t="str">
        <f>LEFT(Table2[[#This Row],[Unit ]],2)</f>
        <v>37</v>
      </c>
      <c r="E66" s="161">
        <f>IF(Table2[[#This Row],[Unit ]]="","",_xlfn.XLOOKUP(Table2[[#This Row],[Type]],'Muraba Veil Sale Summary'!A:A,'Muraba Veil Sale Summary'!P:P))</f>
        <v>2</v>
      </c>
      <c r="F66" s="162">
        <f>IF(Table2[[#This Row],[Unit ]]="","",_xlfn.XLOOKUP(Table2[[#This Row],[Type]],'Muraba Veil Sale Summary'!$A:$A,'Muraba Veil Sale Summary'!F:F))</f>
        <v>2218.7648507519998</v>
      </c>
      <c r="G66" s="162">
        <f>IF(Table2[[#This Row],[Unit ]]="","",_xlfn.XLOOKUP(Table2[[#This Row],[Type]],'Muraba Veil Sale Summary'!$A:$A,'Muraba Veil Sale Summary'!G:G))</f>
        <v>1619.322680576</v>
      </c>
      <c r="H66" s="162">
        <f t="shared" si="4"/>
        <v>3838.0875313279998</v>
      </c>
      <c r="I66" s="163">
        <f>'Launches Residences'!$U$7</f>
        <v>0.3</v>
      </c>
      <c r="J66" s="162">
        <f>IF(Table2[[#This Row],[Unit ]]="","",F66+(G66*Table2[[#This Row],[Terrace Area]]))</f>
        <v>2704.5616549247998</v>
      </c>
      <c r="K66" s="8">
        <f>_xlfn.XLOOKUP(Table2[[#This Row],[Unit ]],'Launches Residences'!$E$15:$E$71,'Launches Residences'!$I$15:$I$71)</f>
        <v>9350</v>
      </c>
      <c r="L66" s="8">
        <f t="shared" si="8"/>
        <v>25287651.473546878</v>
      </c>
      <c r="M66" s="3">
        <f>Table2[[#This Row],[Price/Sq.ft]]</f>
        <v>9350</v>
      </c>
      <c r="N66" s="8" t="e">
        <f>VLOOKUP(Table2[[#This Row],[Unit ]],'[1]Muraba Unit Wise Details '!$C$4:$L$67,10,FALSE)</f>
        <v>#N/A</v>
      </c>
      <c r="O66" s="8" t="e">
        <f>Table2[[#This Row],[Column2]]-Table2[[#This Row],[Price]]</f>
        <v>#N/A</v>
      </c>
      <c r="P66" s="8">
        <f>Table2[[#This Row],[Price]]/Table2[[#This Row],[Total Area
(Sq.ft)]]</f>
        <v>6588.6072860868826</v>
      </c>
      <c r="Q66" s="162">
        <f>Table2[[#This Row],[Price]]/Table2[[#This Row],[Sellable Area
(Sq. ft)]]</f>
        <v>9350</v>
      </c>
      <c r="R66" s="209"/>
      <c r="S66" s="183"/>
      <c r="U66" s="160"/>
      <c r="AC66" s="11"/>
      <c r="AE66" s="183"/>
      <c r="AF66" s="12"/>
      <c r="AG66" s="11"/>
      <c r="AH66" s="9"/>
      <c r="AN66" s="183"/>
    </row>
    <row r="67" spans="1:40" x14ac:dyDescent="0.35">
      <c r="A67" s="157" t="str">
        <f>IF(Table2[[#This Row],[Unit ]]="","","2 Bedroom")</f>
        <v>2 Bedroom</v>
      </c>
      <c r="B67" s="158" t="s">
        <v>21</v>
      </c>
      <c r="C67" s="159">
        <f>'Launches Residences'!F46</f>
        <v>3703</v>
      </c>
      <c r="D67" s="160" t="str">
        <f>LEFT(Table2[[#This Row],[Unit ]],2)</f>
        <v>37</v>
      </c>
      <c r="E67" s="161">
        <f>IF(Table2[[#This Row],[Unit ]]="","",_xlfn.XLOOKUP(Table2[[#This Row],[Type]],'Muraba Veil Sale Summary'!A:A,'Muraba Veil Sale Summary'!P:P))</f>
        <v>2</v>
      </c>
      <c r="F67" s="162">
        <f>IF(Table2[[#This Row],[Unit ]]="","",_xlfn.XLOOKUP(Table2[[#This Row],[Type]],'Muraba Veil Sale Summary'!$A:$A,'Muraba Veil Sale Summary'!F:F))</f>
        <v>2218.7648507519998</v>
      </c>
      <c r="G67" s="162">
        <f>IF(Table2[[#This Row],[Unit ]]="","",_xlfn.XLOOKUP(Table2[[#This Row],[Type]],'Muraba Veil Sale Summary'!$A:$A,'Muraba Veil Sale Summary'!G:G))</f>
        <v>1619.322680576</v>
      </c>
      <c r="H67" s="162">
        <f t="shared" si="4"/>
        <v>3838.0875313279998</v>
      </c>
      <c r="I67" s="163">
        <f>'Launches Residences'!$U$7</f>
        <v>0.3</v>
      </c>
      <c r="J67" s="162">
        <f>IF(Table2[[#This Row],[Unit ]]="","",F67+(G67*Table2[[#This Row],[Terrace Area]]))</f>
        <v>2704.5616549247998</v>
      </c>
      <c r="K67" s="8">
        <f>_xlfn.XLOOKUP(Table2[[#This Row],[Unit ]],'Launches Residences'!$F$15:$F$71,'Launches Residences'!$J$15:$J$71)</f>
        <v>9350</v>
      </c>
      <c r="L67" s="8">
        <f t="shared" si="8"/>
        <v>25287651.473546878</v>
      </c>
      <c r="M67" s="3">
        <f>Table2[[#This Row],[Price/Sq.ft]]</f>
        <v>9350</v>
      </c>
      <c r="N67" s="8" t="e">
        <f>VLOOKUP(Table2[[#This Row],[Unit ]],'[1]Muraba Unit Wise Details '!$C$4:$L$67,10,FALSE)</f>
        <v>#N/A</v>
      </c>
      <c r="O67" s="8" t="e">
        <f>Table2[[#This Row],[Column2]]-Table2[[#This Row],[Price]]</f>
        <v>#N/A</v>
      </c>
      <c r="P67" s="8">
        <f>Table2[[#This Row],[Price]]/Table2[[#This Row],[Total Area
(Sq.ft)]]</f>
        <v>6588.6072860868826</v>
      </c>
      <c r="Q67" s="162">
        <f>Table2[[#This Row],[Price]]/Table2[[#This Row],[Sellable Area
(Sq. ft)]]</f>
        <v>9350</v>
      </c>
      <c r="R67" s="209"/>
      <c r="S67" s="183"/>
      <c r="U67" s="160"/>
      <c r="AC67" s="11"/>
      <c r="AE67" s="183"/>
      <c r="AF67" s="12"/>
      <c r="AG67" s="11"/>
      <c r="AH67" s="9"/>
      <c r="AN67" s="183"/>
    </row>
    <row r="68" spans="1:40" x14ac:dyDescent="0.35">
      <c r="A68" s="157" t="str">
        <f>IF(Table2[[#This Row],[Unit ]]="","","2 Bedroom")</f>
        <v>2 Bedroom</v>
      </c>
      <c r="B68" s="158" t="s">
        <v>21</v>
      </c>
      <c r="C68" s="159">
        <f>'Launches Residences'!E47</f>
        <v>3802</v>
      </c>
      <c r="D68" s="160" t="str">
        <f>LEFT(Table2[[#This Row],[Unit ]],2)</f>
        <v>38</v>
      </c>
      <c r="E68" s="161">
        <f>IF(Table2[[#This Row],[Unit ]]="","",_xlfn.XLOOKUP(Table2[[#This Row],[Type]],'Muraba Veil Sale Summary'!A:A,'Muraba Veil Sale Summary'!P:P))</f>
        <v>2</v>
      </c>
      <c r="F68" s="162">
        <f>IF(Table2[[#This Row],[Unit ]]="","",_xlfn.XLOOKUP(Table2[[#This Row],[Type]],'Muraba Veil Sale Summary'!$A:$A,'Muraba Veil Sale Summary'!F:F))</f>
        <v>2218.7648507519998</v>
      </c>
      <c r="G68" s="162">
        <f>IF(Table2[[#This Row],[Unit ]]="","",_xlfn.XLOOKUP(Table2[[#This Row],[Type]],'Muraba Veil Sale Summary'!$A:$A,'Muraba Veil Sale Summary'!G:G))</f>
        <v>1619.322680576</v>
      </c>
      <c r="H68" s="162">
        <f t="shared" ref="H68:H129" si="9">IFERROR(F68+G68,0)</f>
        <v>3838.0875313279998</v>
      </c>
      <c r="I68" s="163">
        <f>'Launches Residences'!$U$7</f>
        <v>0.3</v>
      </c>
      <c r="J68" s="162">
        <f>IF(Table2[[#This Row],[Unit ]]="","",F68+(G68*Table2[[#This Row],[Terrace Area]]))</f>
        <v>2704.5616549247998</v>
      </c>
      <c r="K68" s="8">
        <f>_xlfn.XLOOKUP(Table2[[#This Row],[Unit ]],'Launches Residences'!$E$15:$E$71,'Launches Residences'!$I$15:$I$71)</f>
        <v>9500</v>
      </c>
      <c r="L68" s="8">
        <f t="shared" si="8"/>
        <v>25693335.721785598</v>
      </c>
      <c r="M68" s="3">
        <f>Table2[[#This Row],[Price/Sq.ft]]</f>
        <v>9500</v>
      </c>
      <c r="N68" s="8" t="e">
        <f>VLOOKUP(Table2[[#This Row],[Unit ]],'[1]Muraba Unit Wise Details '!$C$4:$L$67,10,FALSE)</f>
        <v>#N/A</v>
      </c>
      <c r="O68" s="8" t="e">
        <f>Table2[[#This Row],[Column2]]-Table2[[#This Row],[Price]]</f>
        <v>#N/A</v>
      </c>
      <c r="P68" s="8">
        <f>Table2[[#This Row],[Price]]/Table2[[#This Row],[Total Area
(Sq.ft)]]</f>
        <v>6694.3068682166195</v>
      </c>
      <c r="Q68" s="162">
        <f>Table2[[#This Row],[Price]]/Table2[[#This Row],[Sellable Area
(Sq. ft)]]</f>
        <v>9500</v>
      </c>
      <c r="R68" s="209"/>
      <c r="S68" s="183"/>
      <c r="U68" s="160"/>
      <c r="AC68" s="11"/>
      <c r="AE68" s="183"/>
      <c r="AF68" s="12"/>
      <c r="AG68" s="11"/>
      <c r="AH68" s="9"/>
      <c r="AN68" s="183"/>
    </row>
    <row r="69" spans="1:40" x14ac:dyDescent="0.35">
      <c r="A69" s="157" t="str">
        <f>IF(Table2[[#This Row],[Unit ]]="","","2 Bedroom")</f>
        <v>2 Bedroom</v>
      </c>
      <c r="B69" s="158" t="s">
        <v>21</v>
      </c>
      <c r="C69" s="159">
        <f>'Launches Residences'!F47</f>
        <v>3803</v>
      </c>
      <c r="D69" s="160" t="str">
        <f>LEFT(Table2[[#This Row],[Unit ]],2)</f>
        <v>38</v>
      </c>
      <c r="E69" s="161">
        <f>IF(Table2[[#This Row],[Unit ]]="","",_xlfn.XLOOKUP(Table2[[#This Row],[Type]],'Muraba Veil Sale Summary'!A:A,'Muraba Veil Sale Summary'!P:P))</f>
        <v>2</v>
      </c>
      <c r="F69" s="162">
        <f>IF(Table2[[#This Row],[Unit ]]="","",_xlfn.XLOOKUP(Table2[[#This Row],[Type]],'Muraba Veil Sale Summary'!$A:$A,'Muraba Veil Sale Summary'!F:F))</f>
        <v>2218.7648507519998</v>
      </c>
      <c r="G69" s="162">
        <f>IF(Table2[[#This Row],[Unit ]]="","",_xlfn.XLOOKUP(Table2[[#This Row],[Type]],'Muraba Veil Sale Summary'!$A:$A,'Muraba Veil Sale Summary'!G:G))</f>
        <v>1619.322680576</v>
      </c>
      <c r="H69" s="162">
        <f t="shared" si="9"/>
        <v>3838.0875313279998</v>
      </c>
      <c r="I69" s="163">
        <f>'Launches Residences'!$U$7</f>
        <v>0.3</v>
      </c>
      <c r="J69" s="162">
        <f>IF(Table2[[#This Row],[Unit ]]="","",F69+(G69*Table2[[#This Row],[Terrace Area]]))</f>
        <v>2704.5616549247998</v>
      </c>
      <c r="K69" s="8">
        <f>_xlfn.XLOOKUP(Table2[[#This Row],[Unit ]],'Launches Residences'!$F$15:$F$71,'Launches Residences'!$J$15:$J$71)</f>
        <v>9500</v>
      </c>
      <c r="L69" s="8">
        <f t="shared" si="8"/>
        <v>25693335.721785598</v>
      </c>
      <c r="M69" s="3">
        <f>Table2[[#This Row],[Price/Sq.ft]]</f>
        <v>9500</v>
      </c>
      <c r="N69" s="8" t="e">
        <f>VLOOKUP(Table2[[#This Row],[Unit ]],'[1]Muraba Unit Wise Details '!$C$4:$L$67,10,FALSE)</f>
        <v>#N/A</v>
      </c>
      <c r="O69" s="8" t="e">
        <f>Table2[[#This Row],[Column2]]-Table2[[#This Row],[Price]]</f>
        <v>#N/A</v>
      </c>
      <c r="P69" s="8">
        <f>Table2[[#This Row],[Price]]/Table2[[#This Row],[Total Area
(Sq.ft)]]</f>
        <v>6694.3068682166195</v>
      </c>
      <c r="Q69" s="162">
        <f>Table2[[#This Row],[Price]]/Table2[[#This Row],[Sellable Area
(Sq. ft)]]</f>
        <v>9500</v>
      </c>
      <c r="R69" s="209"/>
      <c r="S69" s="183"/>
      <c r="U69" s="160"/>
      <c r="AC69" s="11"/>
      <c r="AE69" s="183"/>
      <c r="AF69" s="12"/>
      <c r="AG69" s="11"/>
      <c r="AH69" s="9"/>
      <c r="AN69" s="183"/>
    </row>
    <row r="70" spans="1:40" x14ac:dyDescent="0.35">
      <c r="A70" s="157" t="str">
        <f>IF(Table2[[#This Row],[Unit ]]="","","2 Bedroom")</f>
        <v>2 Bedroom</v>
      </c>
      <c r="B70" s="158" t="s">
        <v>21</v>
      </c>
      <c r="C70" s="159">
        <f>'Launches Residences'!E48</f>
        <v>3902</v>
      </c>
      <c r="D70" s="160" t="str">
        <f>LEFT(Table2[[#This Row],[Unit ]],2)</f>
        <v>39</v>
      </c>
      <c r="E70" s="161">
        <f>IF(Table2[[#This Row],[Unit ]]="","",_xlfn.XLOOKUP(Table2[[#This Row],[Type]],'Muraba Veil Sale Summary'!A:A,'Muraba Veil Sale Summary'!P:P))</f>
        <v>2</v>
      </c>
      <c r="F70" s="162">
        <f>IF(Table2[[#This Row],[Unit ]]="","",_xlfn.XLOOKUP(Table2[[#This Row],[Type]],'Muraba Veil Sale Summary'!$A:$A,'Muraba Veil Sale Summary'!F:F))</f>
        <v>2218.7648507519998</v>
      </c>
      <c r="G70" s="162">
        <f>IF(Table2[[#This Row],[Unit ]]="","",_xlfn.XLOOKUP(Table2[[#This Row],[Type]],'Muraba Veil Sale Summary'!$A:$A,'Muraba Veil Sale Summary'!G:G))</f>
        <v>1619.322680576</v>
      </c>
      <c r="H70" s="162">
        <f t="shared" si="9"/>
        <v>3838.0875313279998</v>
      </c>
      <c r="I70" s="163">
        <f>'Launches Residences'!$U$7</f>
        <v>0.3</v>
      </c>
      <c r="J70" s="162">
        <f>IF(Table2[[#This Row],[Unit ]]="","",F70+(G70*Table2[[#This Row],[Terrace Area]]))</f>
        <v>2704.5616549247998</v>
      </c>
      <c r="K70" s="8">
        <f>_xlfn.XLOOKUP(Table2[[#This Row],[Unit ]],'Launches Residences'!$E$15:$E$71,'Launches Residences'!$I$15:$I$71)</f>
        <v>9650</v>
      </c>
      <c r="L70" s="8">
        <f t="shared" si="8"/>
        <v>26099019.970024318</v>
      </c>
      <c r="M70" s="3">
        <f>Table2[[#This Row],[Price/Sq.ft]]</f>
        <v>9650</v>
      </c>
      <c r="N70" s="8" t="e">
        <f>VLOOKUP(Table2[[#This Row],[Unit ]],'[1]Muraba Unit Wise Details '!$C$4:$L$67,10,FALSE)</f>
        <v>#N/A</v>
      </c>
      <c r="O70" s="8" t="e">
        <f>Table2[[#This Row],[Column2]]-Table2[[#This Row],[Price]]</f>
        <v>#N/A</v>
      </c>
      <c r="P70" s="8">
        <f>Table2[[#This Row],[Price]]/Table2[[#This Row],[Total Area
(Sq.ft)]]</f>
        <v>6800.0064503463555</v>
      </c>
      <c r="Q70" s="162">
        <f>Table2[[#This Row],[Price]]/Table2[[#This Row],[Sellable Area
(Sq. ft)]]</f>
        <v>9650</v>
      </c>
      <c r="R70" s="209"/>
      <c r="S70" s="183"/>
      <c r="U70" s="160"/>
      <c r="AC70" s="11"/>
      <c r="AE70" s="183"/>
      <c r="AF70" s="12"/>
      <c r="AG70" s="11"/>
      <c r="AH70" s="9"/>
      <c r="AN70" s="183"/>
    </row>
    <row r="71" spans="1:40" x14ac:dyDescent="0.35">
      <c r="A71" s="157" t="str">
        <f>IF(Table2[[#This Row],[Unit ]]="","","2 Bedroom")</f>
        <v>2 Bedroom</v>
      </c>
      <c r="B71" s="158" t="s">
        <v>21</v>
      </c>
      <c r="C71" s="159">
        <f>'Launches Residences'!F48</f>
        <v>3903</v>
      </c>
      <c r="D71" s="160" t="str">
        <f>LEFT(Table2[[#This Row],[Unit ]],2)</f>
        <v>39</v>
      </c>
      <c r="E71" s="161">
        <f>IF(Table2[[#This Row],[Unit ]]="","",_xlfn.XLOOKUP(Table2[[#This Row],[Type]],'Muraba Veil Sale Summary'!A:A,'Muraba Veil Sale Summary'!P:P))</f>
        <v>2</v>
      </c>
      <c r="F71" s="162">
        <f>IF(Table2[[#This Row],[Unit ]]="","",_xlfn.XLOOKUP(Table2[[#This Row],[Type]],'Muraba Veil Sale Summary'!$A:$A,'Muraba Veil Sale Summary'!F:F))</f>
        <v>2218.7648507519998</v>
      </c>
      <c r="G71" s="162">
        <f>IF(Table2[[#This Row],[Unit ]]="","",_xlfn.XLOOKUP(Table2[[#This Row],[Type]],'Muraba Veil Sale Summary'!$A:$A,'Muraba Veil Sale Summary'!G:G))</f>
        <v>1619.322680576</v>
      </c>
      <c r="H71" s="162">
        <f t="shared" si="9"/>
        <v>3838.0875313279998</v>
      </c>
      <c r="I71" s="163">
        <f>'Launches Residences'!$U$7</f>
        <v>0.3</v>
      </c>
      <c r="J71" s="162">
        <f>IF(Table2[[#This Row],[Unit ]]="","",F71+(G71*Table2[[#This Row],[Terrace Area]]))</f>
        <v>2704.5616549247998</v>
      </c>
      <c r="K71" s="8">
        <f>_xlfn.XLOOKUP(Table2[[#This Row],[Unit ]],'Launches Residences'!$F$15:$F$71,'Launches Residences'!$J$15:$J$71)</f>
        <v>9650</v>
      </c>
      <c r="L71" s="8">
        <f t="shared" si="8"/>
        <v>26099019.970024318</v>
      </c>
      <c r="M71" s="3">
        <f>Table2[[#This Row],[Price/Sq.ft]]</f>
        <v>9650</v>
      </c>
      <c r="N71" s="8" t="e">
        <f>VLOOKUP(Table2[[#This Row],[Unit ]],'[1]Muraba Unit Wise Details '!$C$4:$L$67,10,FALSE)</f>
        <v>#N/A</v>
      </c>
      <c r="O71" s="8" t="e">
        <f>Table2[[#This Row],[Column2]]-Table2[[#This Row],[Price]]</f>
        <v>#N/A</v>
      </c>
      <c r="P71" s="8">
        <f>Table2[[#This Row],[Price]]/Table2[[#This Row],[Total Area
(Sq.ft)]]</f>
        <v>6800.0064503463555</v>
      </c>
      <c r="Q71" s="162">
        <f>Table2[[#This Row],[Price]]/Table2[[#This Row],[Sellable Area
(Sq. ft)]]</f>
        <v>9650</v>
      </c>
      <c r="R71" s="209"/>
      <c r="S71" s="183"/>
      <c r="U71" s="160"/>
      <c r="AC71" s="11"/>
      <c r="AE71" s="183"/>
      <c r="AF71" s="12"/>
      <c r="AG71" s="11"/>
      <c r="AH71" s="9"/>
      <c r="AN71" s="183"/>
    </row>
    <row r="72" spans="1:40" x14ac:dyDescent="0.35">
      <c r="A72" s="157" t="str">
        <f>IF(Table2[[#This Row],[Unit ]]="","","2 Bedroom")</f>
        <v>2 Bedroom</v>
      </c>
      <c r="B72" s="158" t="s">
        <v>21</v>
      </c>
      <c r="C72" s="159">
        <f>'Launches Residences'!E49</f>
        <v>4002</v>
      </c>
      <c r="D72" s="160" t="str">
        <f>LEFT(Table2[[#This Row],[Unit ]],2)</f>
        <v>40</v>
      </c>
      <c r="E72" s="161">
        <f>IF(Table2[[#This Row],[Unit ]]="","",_xlfn.XLOOKUP(Table2[[#This Row],[Type]],'Muraba Veil Sale Summary'!A:A,'Muraba Veil Sale Summary'!P:P))</f>
        <v>2</v>
      </c>
      <c r="F72" s="162">
        <f>IF(Table2[[#This Row],[Unit ]]="","",_xlfn.XLOOKUP(Table2[[#This Row],[Type]],'Muraba Veil Sale Summary'!$A:$A,'Muraba Veil Sale Summary'!F:F))</f>
        <v>2218.7648507519998</v>
      </c>
      <c r="G72" s="162">
        <f>IF(Table2[[#This Row],[Unit ]]="","",_xlfn.XLOOKUP(Table2[[#This Row],[Type]],'Muraba Veil Sale Summary'!$A:$A,'Muraba Veil Sale Summary'!G:G))</f>
        <v>1619.322680576</v>
      </c>
      <c r="H72" s="162">
        <f t="shared" si="9"/>
        <v>3838.0875313279998</v>
      </c>
      <c r="I72" s="163">
        <f>'Launches Residences'!$U$7</f>
        <v>0.3</v>
      </c>
      <c r="J72" s="162">
        <f>IF(Table2[[#This Row],[Unit ]]="","",F72+(G72*Table2[[#This Row],[Terrace Area]]))</f>
        <v>2704.5616549247998</v>
      </c>
      <c r="K72" s="8">
        <f>_xlfn.XLOOKUP(Table2[[#This Row],[Unit ]],'Launches Residences'!$E$15:$E$71,'Launches Residences'!$I$15:$I$71)</f>
        <v>9800</v>
      </c>
      <c r="L72" s="8">
        <f t="shared" si="8"/>
        <v>26504704.218263038</v>
      </c>
      <c r="M72" s="3">
        <f>Table2[[#This Row],[Price/Sq.ft]]</f>
        <v>9800</v>
      </c>
      <c r="N72" s="8" t="e">
        <f>VLOOKUP(Table2[[#This Row],[Unit ]],'[1]Muraba Unit Wise Details '!$C$4:$L$67,10,FALSE)</f>
        <v>#N/A</v>
      </c>
      <c r="O72" s="8" t="e">
        <f>Table2[[#This Row],[Column2]]-Table2[[#This Row],[Price]]</f>
        <v>#N/A</v>
      </c>
      <c r="P72" s="8">
        <f>Table2[[#This Row],[Price]]/Table2[[#This Row],[Total Area
(Sq.ft)]]</f>
        <v>6905.7060324760914</v>
      </c>
      <c r="Q72" s="162">
        <f>Table2[[#This Row],[Price]]/Table2[[#This Row],[Sellable Area
(Sq. ft)]]</f>
        <v>9800</v>
      </c>
      <c r="R72" s="209"/>
      <c r="S72" s="183"/>
      <c r="U72" s="160"/>
      <c r="AC72" s="11"/>
      <c r="AE72" s="183"/>
      <c r="AF72" s="12"/>
      <c r="AG72" s="11"/>
      <c r="AH72" s="9"/>
      <c r="AN72" s="183"/>
    </row>
    <row r="73" spans="1:40" x14ac:dyDescent="0.35">
      <c r="A73" s="157" t="str">
        <f>IF(Table2[[#This Row],[Unit ]]="","","2 Bedroom")</f>
        <v>2 Bedroom</v>
      </c>
      <c r="B73" s="158" t="s">
        <v>21</v>
      </c>
      <c r="C73" s="159">
        <f>'Launches Residences'!F49</f>
        <v>4003</v>
      </c>
      <c r="D73" s="160" t="str">
        <f>LEFT(Table2[[#This Row],[Unit ]],2)</f>
        <v>40</v>
      </c>
      <c r="E73" s="161">
        <f>IF(Table2[[#This Row],[Unit ]]="","",_xlfn.XLOOKUP(Table2[[#This Row],[Type]],'Muraba Veil Sale Summary'!A:A,'Muraba Veil Sale Summary'!P:P))</f>
        <v>2</v>
      </c>
      <c r="F73" s="162">
        <f>IF(Table2[[#This Row],[Unit ]]="","",_xlfn.XLOOKUP(Table2[[#This Row],[Type]],'Muraba Veil Sale Summary'!$A:$A,'Muraba Veil Sale Summary'!F:F))</f>
        <v>2218.7648507519998</v>
      </c>
      <c r="G73" s="162">
        <f>IF(Table2[[#This Row],[Unit ]]="","",_xlfn.XLOOKUP(Table2[[#This Row],[Type]],'Muraba Veil Sale Summary'!$A:$A,'Muraba Veil Sale Summary'!G:G))</f>
        <v>1619.322680576</v>
      </c>
      <c r="H73" s="162">
        <f t="shared" si="9"/>
        <v>3838.0875313279998</v>
      </c>
      <c r="I73" s="163">
        <f>'Launches Residences'!$U$7</f>
        <v>0.3</v>
      </c>
      <c r="J73" s="162">
        <f>IF(Table2[[#This Row],[Unit ]]="","",F73+(G73*Table2[[#This Row],[Terrace Area]]))</f>
        <v>2704.5616549247998</v>
      </c>
      <c r="K73" s="8">
        <f>_xlfn.XLOOKUP(Table2[[#This Row],[Unit ]],'Launches Residences'!$F$15:$F$71,'Launches Residences'!$J$15:$J$71)</f>
        <v>9800</v>
      </c>
      <c r="L73" s="8">
        <f t="shared" si="8"/>
        <v>26504704.218263038</v>
      </c>
      <c r="M73" s="3">
        <f>Table2[[#This Row],[Price/Sq.ft]]</f>
        <v>9800</v>
      </c>
      <c r="N73" s="8" t="e">
        <f>VLOOKUP(Table2[[#This Row],[Unit ]],'[1]Muraba Unit Wise Details '!$C$4:$L$67,10,FALSE)</f>
        <v>#N/A</v>
      </c>
      <c r="O73" s="8" t="e">
        <f>Table2[[#This Row],[Column2]]-Table2[[#This Row],[Price]]</f>
        <v>#N/A</v>
      </c>
      <c r="P73" s="8">
        <f>Table2[[#This Row],[Price]]/Table2[[#This Row],[Total Area
(Sq.ft)]]</f>
        <v>6905.7060324760914</v>
      </c>
      <c r="Q73" s="162">
        <f>Table2[[#This Row],[Price]]/Table2[[#This Row],[Sellable Area
(Sq. ft)]]</f>
        <v>9800</v>
      </c>
      <c r="R73" s="209"/>
      <c r="S73" s="183"/>
      <c r="U73" s="160"/>
      <c r="AC73" s="11"/>
      <c r="AE73" s="183"/>
      <c r="AF73" s="12"/>
      <c r="AG73" s="11"/>
      <c r="AH73" s="9"/>
      <c r="AN73" s="183"/>
    </row>
    <row r="74" spans="1:40" x14ac:dyDescent="0.35">
      <c r="A74" s="157" t="str">
        <f>IF(Table2[[#This Row],[Unit ]]="","","2 Bedroom")</f>
        <v>2 Bedroom</v>
      </c>
      <c r="B74" s="158" t="s">
        <v>21</v>
      </c>
      <c r="C74" s="159">
        <f>'Launches Residences'!E50</f>
        <v>4102</v>
      </c>
      <c r="D74" s="160" t="str">
        <f>LEFT(Table2[[#This Row],[Unit ]],2)</f>
        <v>41</v>
      </c>
      <c r="E74" s="161">
        <f>IF(Table2[[#This Row],[Unit ]]="","",_xlfn.XLOOKUP(Table2[[#This Row],[Type]],'Muraba Veil Sale Summary'!A:A,'Muraba Veil Sale Summary'!P:P))</f>
        <v>2</v>
      </c>
      <c r="F74" s="162">
        <f>IF(Table2[[#This Row],[Unit ]]="","",_xlfn.XLOOKUP(Table2[[#This Row],[Type]],'Muraba Veil Sale Summary'!$A:$A,'Muraba Veil Sale Summary'!F:F))</f>
        <v>2218.7648507519998</v>
      </c>
      <c r="G74" s="162">
        <f>IF(Table2[[#This Row],[Unit ]]="","",_xlfn.XLOOKUP(Table2[[#This Row],[Type]],'Muraba Veil Sale Summary'!$A:$A,'Muraba Veil Sale Summary'!G:G))</f>
        <v>1619.322680576</v>
      </c>
      <c r="H74" s="162">
        <f t="shared" si="9"/>
        <v>3838.0875313279998</v>
      </c>
      <c r="I74" s="163">
        <f>'Launches Residences'!$U$7</f>
        <v>0.3</v>
      </c>
      <c r="J74" s="162">
        <f>IF(Table2[[#This Row],[Unit ]]="","",F74+(G74*Table2[[#This Row],[Terrace Area]]))</f>
        <v>2704.5616549247998</v>
      </c>
      <c r="K74" s="8">
        <f>_xlfn.XLOOKUP(Table2[[#This Row],[Unit ]],'Launches Residences'!$E$15:$E$71,'Launches Residences'!$I$15:$I$71)</f>
        <v>9950</v>
      </c>
      <c r="L74" s="8">
        <f t="shared" si="8"/>
        <v>26910388.466501758</v>
      </c>
      <c r="M74" s="3">
        <f>Table2[[#This Row],[Price/Sq.ft]]</f>
        <v>9950</v>
      </c>
      <c r="N74" s="8" t="e">
        <f>VLOOKUP(Table2[[#This Row],[Unit ]],'[1]Muraba Unit Wise Details '!$C$4:$L$67,10,FALSE)</f>
        <v>#N/A</v>
      </c>
      <c r="O74" s="8" t="e">
        <f>Table2[[#This Row],[Column2]]-Table2[[#This Row],[Price]]</f>
        <v>#N/A</v>
      </c>
      <c r="P74" s="8">
        <f>Table2[[#This Row],[Price]]/Table2[[#This Row],[Total Area
(Sq.ft)]]</f>
        <v>7011.4056146058274</v>
      </c>
      <c r="Q74" s="162">
        <f>Table2[[#This Row],[Price]]/Table2[[#This Row],[Sellable Area
(Sq. ft)]]</f>
        <v>9950</v>
      </c>
      <c r="R74" s="209"/>
      <c r="S74" s="183"/>
      <c r="U74" s="160"/>
      <c r="AC74" s="11"/>
      <c r="AE74" s="183"/>
      <c r="AF74" s="12"/>
      <c r="AG74" s="11"/>
      <c r="AH74" s="9"/>
      <c r="AN74" s="183"/>
    </row>
    <row r="75" spans="1:40" x14ac:dyDescent="0.35">
      <c r="A75" s="157" t="str">
        <f>IF(Table2[[#This Row],[Unit ]]="","","2 Bedroom")</f>
        <v>2 Bedroom</v>
      </c>
      <c r="B75" s="158" t="s">
        <v>21</v>
      </c>
      <c r="C75" s="159">
        <f>'Launches Residences'!F50</f>
        <v>4103</v>
      </c>
      <c r="D75" s="160" t="str">
        <f>LEFT(Table2[[#This Row],[Unit ]],2)</f>
        <v>41</v>
      </c>
      <c r="E75" s="161">
        <f>IF(Table2[[#This Row],[Unit ]]="","",_xlfn.XLOOKUP(Table2[[#This Row],[Type]],'Muraba Veil Sale Summary'!A:A,'Muraba Veil Sale Summary'!P:P))</f>
        <v>2</v>
      </c>
      <c r="F75" s="162">
        <f>IF(Table2[[#This Row],[Unit ]]="","",_xlfn.XLOOKUP(Table2[[#This Row],[Type]],'Muraba Veil Sale Summary'!$A:$A,'Muraba Veil Sale Summary'!F:F))</f>
        <v>2218.7648507519998</v>
      </c>
      <c r="G75" s="162">
        <f>IF(Table2[[#This Row],[Unit ]]="","",_xlfn.XLOOKUP(Table2[[#This Row],[Type]],'Muraba Veil Sale Summary'!$A:$A,'Muraba Veil Sale Summary'!G:G))</f>
        <v>1619.322680576</v>
      </c>
      <c r="H75" s="162">
        <f t="shared" si="9"/>
        <v>3838.0875313279998</v>
      </c>
      <c r="I75" s="163">
        <f>'Launches Residences'!$U$7</f>
        <v>0.3</v>
      </c>
      <c r="J75" s="162">
        <f>IF(Table2[[#This Row],[Unit ]]="","",F75+(G75*Table2[[#This Row],[Terrace Area]]))</f>
        <v>2704.5616549247998</v>
      </c>
      <c r="K75" s="8">
        <f>_xlfn.XLOOKUP(Table2[[#This Row],[Unit ]],'Launches Residences'!$F$15:$F$71,'Launches Residences'!$J$15:$J$71)</f>
        <v>9950</v>
      </c>
      <c r="L75" s="8">
        <f t="shared" si="8"/>
        <v>26910388.466501758</v>
      </c>
      <c r="M75" s="3">
        <f>Table2[[#This Row],[Price/Sq.ft]]</f>
        <v>9950</v>
      </c>
      <c r="N75" s="8" t="e">
        <f>VLOOKUP(Table2[[#This Row],[Unit ]],'[1]Muraba Unit Wise Details '!$C$4:$L$67,10,FALSE)</f>
        <v>#N/A</v>
      </c>
      <c r="O75" s="8" t="e">
        <f>Table2[[#This Row],[Column2]]-Table2[[#This Row],[Price]]</f>
        <v>#N/A</v>
      </c>
      <c r="P75" s="8">
        <f>Table2[[#This Row],[Price]]/Table2[[#This Row],[Total Area
(Sq.ft)]]</f>
        <v>7011.4056146058274</v>
      </c>
      <c r="Q75" s="162">
        <f>Table2[[#This Row],[Price]]/Table2[[#This Row],[Sellable Area
(Sq. ft)]]</f>
        <v>9950</v>
      </c>
      <c r="R75" s="209"/>
      <c r="S75" s="183"/>
      <c r="U75" s="160"/>
      <c r="AC75" s="11"/>
      <c r="AE75" s="183"/>
      <c r="AF75" s="12"/>
      <c r="AG75" s="11"/>
      <c r="AH75" s="9"/>
      <c r="AN75" s="183"/>
    </row>
    <row r="76" spans="1:40" x14ac:dyDescent="0.35">
      <c r="A76" s="157" t="str">
        <f>IF(Table2[[#This Row],[Unit ]]="","","2 Bedroom")</f>
        <v>2 Bedroom</v>
      </c>
      <c r="B76" s="158" t="s">
        <v>21</v>
      </c>
      <c r="C76" s="159">
        <f>'Launches Residences'!E51</f>
        <v>4202</v>
      </c>
      <c r="D76" s="160" t="str">
        <f>LEFT(Table2[[#This Row],[Unit ]],2)</f>
        <v>42</v>
      </c>
      <c r="E76" s="161">
        <f>IF(Table2[[#This Row],[Unit ]]="","",_xlfn.XLOOKUP(Table2[[#This Row],[Type]],'Muraba Veil Sale Summary'!A:A,'Muraba Veil Sale Summary'!P:P))</f>
        <v>2</v>
      </c>
      <c r="F76" s="162">
        <f>IF(Table2[[#This Row],[Unit ]]="","",_xlfn.XLOOKUP(Table2[[#This Row],[Type]],'Muraba Veil Sale Summary'!$A:$A,'Muraba Veil Sale Summary'!F:F))</f>
        <v>2218.7648507519998</v>
      </c>
      <c r="G76" s="162">
        <f>IF(Table2[[#This Row],[Unit ]]="","",_xlfn.XLOOKUP(Table2[[#This Row],[Type]],'Muraba Veil Sale Summary'!$A:$A,'Muraba Veil Sale Summary'!G:G))</f>
        <v>1619.322680576</v>
      </c>
      <c r="H76" s="162">
        <f t="shared" si="9"/>
        <v>3838.0875313279998</v>
      </c>
      <c r="I76" s="163">
        <f>'Launches Residences'!$U$7</f>
        <v>0.3</v>
      </c>
      <c r="J76" s="162">
        <f>IF(Table2[[#This Row],[Unit ]]="","",F76+(G76*Table2[[#This Row],[Terrace Area]]))</f>
        <v>2704.5616549247998</v>
      </c>
      <c r="K76" s="8">
        <f>_xlfn.XLOOKUP(Table2[[#This Row],[Unit ]],'Launches Residences'!$E$15:$E$71,'Launches Residences'!$I$15:$I$71)</f>
        <v>10100</v>
      </c>
      <c r="L76" s="8">
        <f t="shared" si="8"/>
        <v>27316072.714740478</v>
      </c>
      <c r="M76" s="3">
        <f>Table2[[#This Row],[Price/Sq.ft]]</f>
        <v>10100</v>
      </c>
      <c r="N76" s="8" t="e">
        <f>VLOOKUP(Table2[[#This Row],[Unit ]],'[1]Muraba Unit Wise Details '!$C$4:$L$67,10,FALSE)</f>
        <v>#N/A</v>
      </c>
      <c r="O76" s="8" t="e">
        <f>Table2[[#This Row],[Column2]]-Table2[[#This Row],[Price]]</f>
        <v>#N/A</v>
      </c>
      <c r="P76" s="8">
        <f>Table2[[#This Row],[Price]]/Table2[[#This Row],[Total Area
(Sq.ft)]]</f>
        <v>7117.1051967355634</v>
      </c>
      <c r="Q76" s="162">
        <f>Table2[[#This Row],[Price]]/Table2[[#This Row],[Sellable Area
(Sq. ft)]]</f>
        <v>10100</v>
      </c>
      <c r="R76" s="209"/>
      <c r="S76" s="183"/>
      <c r="U76" s="160"/>
      <c r="AC76" s="11"/>
      <c r="AE76" s="183"/>
      <c r="AF76" s="12"/>
      <c r="AG76" s="11"/>
      <c r="AH76" s="9"/>
      <c r="AN76" s="183"/>
    </row>
    <row r="77" spans="1:40" x14ac:dyDescent="0.35">
      <c r="A77" s="157" t="str">
        <f>IF(Table2[[#This Row],[Unit ]]="","","2 Bedroom")</f>
        <v>2 Bedroom</v>
      </c>
      <c r="B77" s="158" t="s">
        <v>21</v>
      </c>
      <c r="C77" s="159">
        <f>'Launches Residences'!F51</f>
        <v>4203</v>
      </c>
      <c r="D77" s="160" t="str">
        <f>LEFT(Table2[[#This Row],[Unit ]],2)</f>
        <v>42</v>
      </c>
      <c r="E77" s="161">
        <f>IF(Table2[[#This Row],[Unit ]]="","",_xlfn.XLOOKUP(Table2[[#This Row],[Type]],'Muraba Veil Sale Summary'!A:A,'Muraba Veil Sale Summary'!P:P))</f>
        <v>2</v>
      </c>
      <c r="F77" s="162">
        <f>IF(Table2[[#This Row],[Unit ]]="","",_xlfn.XLOOKUP(Table2[[#This Row],[Type]],'Muraba Veil Sale Summary'!$A:$A,'Muraba Veil Sale Summary'!F:F))</f>
        <v>2218.7648507519998</v>
      </c>
      <c r="G77" s="162">
        <f>IF(Table2[[#This Row],[Unit ]]="","",_xlfn.XLOOKUP(Table2[[#This Row],[Type]],'Muraba Veil Sale Summary'!$A:$A,'Muraba Veil Sale Summary'!G:G))</f>
        <v>1619.322680576</v>
      </c>
      <c r="H77" s="162">
        <f t="shared" si="9"/>
        <v>3838.0875313279998</v>
      </c>
      <c r="I77" s="163">
        <f>'Launches Residences'!$U$7</f>
        <v>0.3</v>
      </c>
      <c r="J77" s="162">
        <f>IF(Table2[[#This Row],[Unit ]]="","",F77+(G77*Table2[[#This Row],[Terrace Area]]))</f>
        <v>2704.5616549247998</v>
      </c>
      <c r="K77" s="8">
        <f>_xlfn.XLOOKUP(Table2[[#This Row],[Unit ]],'Launches Residences'!$F$15:$F$71,'Launches Residences'!$J$15:$J$71)</f>
        <v>10100</v>
      </c>
      <c r="L77" s="8">
        <f t="shared" si="8"/>
        <v>27316072.714740478</v>
      </c>
      <c r="M77" s="3">
        <f>Table2[[#This Row],[Price/Sq.ft]]</f>
        <v>10100</v>
      </c>
      <c r="N77" s="8" t="e">
        <f>VLOOKUP(Table2[[#This Row],[Unit ]],'[1]Muraba Unit Wise Details '!$C$4:$L$67,10,FALSE)</f>
        <v>#N/A</v>
      </c>
      <c r="O77" s="8" t="e">
        <f>Table2[[#This Row],[Column2]]-Table2[[#This Row],[Price]]</f>
        <v>#N/A</v>
      </c>
      <c r="P77" s="8">
        <f>Table2[[#This Row],[Price]]/Table2[[#This Row],[Total Area
(Sq.ft)]]</f>
        <v>7117.1051967355634</v>
      </c>
      <c r="Q77" s="162">
        <f>Table2[[#This Row],[Price]]/Table2[[#This Row],[Sellable Area
(Sq. ft)]]</f>
        <v>10100</v>
      </c>
      <c r="R77" s="209"/>
      <c r="S77" s="183"/>
      <c r="U77" s="160"/>
      <c r="AC77" s="11"/>
      <c r="AE77" s="183"/>
      <c r="AF77" s="12"/>
      <c r="AG77" s="11"/>
      <c r="AH77" s="9"/>
      <c r="AN77" s="183"/>
    </row>
    <row r="78" spans="1:40" x14ac:dyDescent="0.35">
      <c r="A78" s="157" t="str">
        <f>IF(Table2[[#This Row],[Unit ]]="","","2 Bedroom")</f>
        <v>2 Bedroom</v>
      </c>
      <c r="B78" s="158" t="s">
        <v>21</v>
      </c>
      <c r="C78" s="159">
        <f>'Launches Residences'!E52</f>
        <v>4302</v>
      </c>
      <c r="D78" s="160" t="str">
        <f>LEFT(Table2[[#This Row],[Unit ]],2)</f>
        <v>43</v>
      </c>
      <c r="E78" s="161">
        <f>IF(Table2[[#This Row],[Unit ]]="","",_xlfn.XLOOKUP(Table2[[#This Row],[Type]],'Muraba Veil Sale Summary'!A:A,'Muraba Veil Sale Summary'!P:P))</f>
        <v>2</v>
      </c>
      <c r="F78" s="162">
        <f>IF(Table2[[#This Row],[Unit ]]="","",_xlfn.XLOOKUP(Table2[[#This Row],[Type]],'Muraba Veil Sale Summary'!$A:$A,'Muraba Veil Sale Summary'!F:F))</f>
        <v>2218.7648507519998</v>
      </c>
      <c r="G78" s="162">
        <f>IF(Table2[[#This Row],[Unit ]]="","",_xlfn.XLOOKUP(Table2[[#This Row],[Type]],'Muraba Veil Sale Summary'!$A:$A,'Muraba Veil Sale Summary'!G:G))</f>
        <v>1619.322680576</v>
      </c>
      <c r="H78" s="162">
        <f t="shared" si="9"/>
        <v>3838.0875313279998</v>
      </c>
      <c r="I78" s="163">
        <f>'Launches Residences'!$U$7</f>
        <v>0.3</v>
      </c>
      <c r="J78" s="162">
        <f>IF(Table2[[#This Row],[Unit ]]="","",F78+(G78*Table2[[#This Row],[Terrace Area]]))</f>
        <v>2704.5616549247998</v>
      </c>
      <c r="K78" s="8">
        <f>_xlfn.XLOOKUP(Table2[[#This Row],[Unit ]],'Launches Residences'!$E$15:$E$71,'Launches Residences'!$I$15:$I$71)</f>
        <v>10250</v>
      </c>
      <c r="L78" s="8">
        <f t="shared" si="8"/>
        <v>27721756.962979198</v>
      </c>
      <c r="M78" s="3">
        <f>Table2[[#This Row],[Price/Sq.ft]]</f>
        <v>10250</v>
      </c>
      <c r="N78" s="8" t="e">
        <f>VLOOKUP(Table2[[#This Row],[Unit ]],'[1]Muraba Unit Wise Details '!$C$4:$L$67,10,FALSE)</f>
        <v>#N/A</v>
      </c>
      <c r="O78" s="8" t="e">
        <f>Table2[[#This Row],[Column2]]-Table2[[#This Row],[Price]]</f>
        <v>#N/A</v>
      </c>
      <c r="P78" s="8">
        <f>Table2[[#This Row],[Price]]/Table2[[#This Row],[Total Area
(Sq.ft)]]</f>
        <v>7222.8047788652993</v>
      </c>
      <c r="Q78" s="162">
        <f>Table2[[#This Row],[Price]]/Table2[[#This Row],[Sellable Area
(Sq. ft)]]</f>
        <v>10250</v>
      </c>
      <c r="R78" s="209"/>
      <c r="S78" s="183"/>
      <c r="U78" s="160"/>
      <c r="AC78" s="11"/>
      <c r="AE78" s="183"/>
      <c r="AF78" s="12"/>
      <c r="AG78" s="11"/>
      <c r="AH78" s="9"/>
      <c r="AN78" s="183"/>
    </row>
    <row r="79" spans="1:40" x14ac:dyDescent="0.35">
      <c r="A79" s="157" t="str">
        <f>IF(Table2[[#This Row],[Unit ]]="","","2 Bedroom")</f>
        <v>2 Bedroom</v>
      </c>
      <c r="B79" s="158" t="s">
        <v>21</v>
      </c>
      <c r="C79" s="159">
        <f>'Launches Residences'!F52</f>
        <v>4303</v>
      </c>
      <c r="D79" s="160" t="str">
        <f>LEFT(Table2[[#This Row],[Unit ]],2)</f>
        <v>43</v>
      </c>
      <c r="E79" s="161">
        <f>IF(Table2[[#This Row],[Unit ]]="","",_xlfn.XLOOKUP(Table2[[#This Row],[Type]],'Muraba Veil Sale Summary'!A:A,'Muraba Veil Sale Summary'!P:P))</f>
        <v>2</v>
      </c>
      <c r="F79" s="162">
        <f>IF(Table2[[#This Row],[Unit ]]="","",_xlfn.XLOOKUP(Table2[[#This Row],[Type]],'Muraba Veil Sale Summary'!$A:$A,'Muraba Veil Sale Summary'!F:F))</f>
        <v>2218.7648507519998</v>
      </c>
      <c r="G79" s="162">
        <f>IF(Table2[[#This Row],[Unit ]]="","",_xlfn.XLOOKUP(Table2[[#This Row],[Type]],'Muraba Veil Sale Summary'!$A:$A,'Muraba Veil Sale Summary'!G:G))</f>
        <v>1619.322680576</v>
      </c>
      <c r="H79" s="162">
        <f t="shared" si="9"/>
        <v>3838.0875313279998</v>
      </c>
      <c r="I79" s="163">
        <f>'Launches Residences'!$U$7</f>
        <v>0.3</v>
      </c>
      <c r="J79" s="162">
        <f>IF(Table2[[#This Row],[Unit ]]="","",F79+(G79*Table2[[#This Row],[Terrace Area]]))</f>
        <v>2704.5616549247998</v>
      </c>
      <c r="K79" s="8">
        <f>_xlfn.XLOOKUP(Table2[[#This Row],[Unit ]],'Launches Residences'!$F$15:$F$71,'Launches Residences'!$J$15:$J$71)</f>
        <v>10250</v>
      </c>
      <c r="L79" s="8">
        <f t="shared" si="8"/>
        <v>27721756.962979198</v>
      </c>
      <c r="M79" s="3">
        <f>Table2[[#This Row],[Price/Sq.ft]]</f>
        <v>10250</v>
      </c>
      <c r="N79" s="8" t="e">
        <f>VLOOKUP(Table2[[#This Row],[Unit ]],'[1]Muraba Unit Wise Details '!$C$4:$L$67,10,FALSE)</f>
        <v>#N/A</v>
      </c>
      <c r="O79" s="8" t="e">
        <f>Table2[[#This Row],[Column2]]-Table2[[#This Row],[Price]]</f>
        <v>#N/A</v>
      </c>
      <c r="P79" s="8">
        <f>Table2[[#This Row],[Price]]/Table2[[#This Row],[Total Area
(Sq.ft)]]</f>
        <v>7222.8047788652993</v>
      </c>
      <c r="Q79" s="162">
        <f>Table2[[#This Row],[Price]]/Table2[[#This Row],[Sellable Area
(Sq. ft)]]</f>
        <v>10250</v>
      </c>
      <c r="R79" s="209"/>
      <c r="S79" s="183"/>
      <c r="U79" s="160"/>
      <c r="AC79" s="11"/>
      <c r="AE79" s="183"/>
      <c r="AF79" s="12"/>
      <c r="AG79" s="11"/>
      <c r="AH79" s="9"/>
      <c r="AN79" s="183"/>
    </row>
    <row r="80" spans="1:40" x14ac:dyDescent="0.35">
      <c r="A80" s="157" t="str">
        <f>IF(Table2[[#This Row],[Unit ]]="","","2 Bedroom")</f>
        <v>2 Bedroom</v>
      </c>
      <c r="B80" s="158" t="s">
        <v>21</v>
      </c>
      <c r="C80" s="159">
        <f>'Launches Residences'!E53</f>
        <v>4402</v>
      </c>
      <c r="D80" s="160" t="str">
        <f>LEFT(Table2[[#This Row],[Unit ]],2)</f>
        <v>44</v>
      </c>
      <c r="E80" s="161">
        <f>IF(Table2[[#This Row],[Unit ]]="","",_xlfn.XLOOKUP(Table2[[#This Row],[Type]],'Muraba Veil Sale Summary'!A:A,'Muraba Veil Sale Summary'!P:P))</f>
        <v>2</v>
      </c>
      <c r="F80" s="162">
        <f>IF(Table2[[#This Row],[Unit ]]="","",_xlfn.XLOOKUP(Table2[[#This Row],[Type]],'Muraba Veil Sale Summary'!$A:$A,'Muraba Veil Sale Summary'!F:F))</f>
        <v>2218.7648507519998</v>
      </c>
      <c r="G80" s="162">
        <f>IF(Table2[[#This Row],[Unit ]]="","",_xlfn.XLOOKUP(Table2[[#This Row],[Type]],'Muraba Veil Sale Summary'!$A:$A,'Muraba Veil Sale Summary'!G:G))</f>
        <v>1619.322680576</v>
      </c>
      <c r="H80" s="162">
        <f t="shared" si="9"/>
        <v>3838.0875313279998</v>
      </c>
      <c r="I80" s="163">
        <f>'Launches Residences'!$U$7</f>
        <v>0.3</v>
      </c>
      <c r="J80" s="162">
        <f>IF(Table2[[#This Row],[Unit ]]="","",F80+(G80*Table2[[#This Row],[Terrace Area]]))</f>
        <v>2704.5616549247998</v>
      </c>
      <c r="K80" s="8">
        <f>_xlfn.XLOOKUP(Table2[[#This Row],[Unit ]],'Launches Residences'!$E$15:$E$71,'Launches Residences'!$I$15:$I$71)</f>
        <v>10400</v>
      </c>
      <c r="L80" s="8">
        <f t="shared" si="8"/>
        <v>28127441.211217918</v>
      </c>
      <c r="M80" s="3">
        <f>Table2[[#This Row],[Price/Sq.ft]]</f>
        <v>10400</v>
      </c>
      <c r="N80" s="8" t="e">
        <f>VLOOKUP(Table2[[#This Row],[Unit ]],'[1]Muraba Unit Wise Details '!$C$4:$L$67,10,FALSE)</f>
        <v>#N/A</v>
      </c>
      <c r="O80" s="8" t="e">
        <f>Table2[[#This Row],[Column2]]-Table2[[#This Row],[Price]]</f>
        <v>#N/A</v>
      </c>
      <c r="P80" s="8">
        <f>Table2[[#This Row],[Price]]/Table2[[#This Row],[Total Area
(Sq.ft)]]</f>
        <v>7328.5043609950353</v>
      </c>
      <c r="Q80" s="162">
        <f>Table2[[#This Row],[Price]]/Table2[[#This Row],[Sellable Area
(Sq. ft)]]</f>
        <v>10400</v>
      </c>
      <c r="R80" s="209"/>
      <c r="S80" s="183"/>
      <c r="U80" s="160"/>
      <c r="AC80" s="11"/>
      <c r="AE80" s="183"/>
      <c r="AF80" s="12"/>
      <c r="AG80" s="11"/>
      <c r="AH80" s="9"/>
      <c r="AN80" s="183"/>
    </row>
    <row r="81" spans="1:40" x14ac:dyDescent="0.35">
      <c r="A81" s="157" t="str">
        <f>IF(Table2[[#This Row],[Unit ]]="","","2 Bedroom")</f>
        <v>2 Bedroom</v>
      </c>
      <c r="B81" s="158" t="s">
        <v>21</v>
      </c>
      <c r="C81" s="159">
        <f>'Launches Residences'!F53</f>
        <v>4403</v>
      </c>
      <c r="D81" s="160" t="str">
        <f>LEFT(Table2[[#This Row],[Unit ]],2)</f>
        <v>44</v>
      </c>
      <c r="E81" s="161">
        <f>IF(Table2[[#This Row],[Unit ]]="","",_xlfn.XLOOKUP(Table2[[#This Row],[Type]],'Muraba Veil Sale Summary'!A:A,'Muraba Veil Sale Summary'!P:P))</f>
        <v>2</v>
      </c>
      <c r="F81" s="162">
        <f>IF(Table2[[#This Row],[Unit ]]="","",_xlfn.XLOOKUP(Table2[[#This Row],[Type]],'Muraba Veil Sale Summary'!$A:$A,'Muraba Veil Sale Summary'!F:F))</f>
        <v>2218.7648507519998</v>
      </c>
      <c r="G81" s="162">
        <f>IF(Table2[[#This Row],[Unit ]]="","",_xlfn.XLOOKUP(Table2[[#This Row],[Type]],'Muraba Veil Sale Summary'!$A:$A,'Muraba Veil Sale Summary'!G:G))</f>
        <v>1619.322680576</v>
      </c>
      <c r="H81" s="162">
        <f t="shared" si="9"/>
        <v>3838.0875313279998</v>
      </c>
      <c r="I81" s="163">
        <f>'Launches Residences'!$U$7</f>
        <v>0.3</v>
      </c>
      <c r="J81" s="162">
        <f>IF(Table2[[#This Row],[Unit ]]="","",F81+(G81*Table2[[#This Row],[Terrace Area]]))</f>
        <v>2704.5616549247998</v>
      </c>
      <c r="K81" s="8">
        <f>_xlfn.XLOOKUP(Table2[[#This Row],[Unit ]],'Launches Residences'!$F$15:$F$71,'Launches Residences'!$J$15:$J$71)</f>
        <v>10400</v>
      </c>
      <c r="L81" s="8">
        <f t="shared" si="8"/>
        <v>28127441.211217918</v>
      </c>
      <c r="M81" s="3">
        <f>Table2[[#This Row],[Price/Sq.ft]]</f>
        <v>10400</v>
      </c>
      <c r="N81" s="8" t="e">
        <f>VLOOKUP(Table2[[#This Row],[Unit ]],'[1]Muraba Unit Wise Details '!$C$4:$L$67,10,FALSE)</f>
        <v>#N/A</v>
      </c>
      <c r="O81" s="8" t="e">
        <f>Table2[[#This Row],[Column2]]-Table2[[#This Row],[Price]]</f>
        <v>#N/A</v>
      </c>
      <c r="P81" s="8">
        <f>Table2[[#This Row],[Price]]/Table2[[#This Row],[Total Area
(Sq.ft)]]</f>
        <v>7328.5043609950353</v>
      </c>
      <c r="Q81" s="162">
        <f>Table2[[#This Row],[Price]]/Table2[[#This Row],[Sellable Area
(Sq. ft)]]</f>
        <v>10400</v>
      </c>
      <c r="R81" s="209"/>
      <c r="S81" s="183"/>
      <c r="U81" s="160"/>
      <c r="AC81" s="11"/>
      <c r="AE81" s="183"/>
      <c r="AF81" s="12"/>
      <c r="AG81" s="11"/>
      <c r="AH81" s="9"/>
      <c r="AN81" s="183"/>
    </row>
    <row r="82" spans="1:40" x14ac:dyDescent="0.35">
      <c r="A82" s="157" t="str">
        <f>IF(Table2[[#This Row],[Unit ]]="","","2 Bedroom")</f>
        <v>2 Bedroom</v>
      </c>
      <c r="B82" s="158" t="s">
        <v>21</v>
      </c>
      <c r="C82" s="159">
        <f>'Launches Residences'!E54</f>
        <v>4502</v>
      </c>
      <c r="D82" s="160" t="str">
        <f>LEFT(Table2[[#This Row],[Unit ]],2)</f>
        <v>45</v>
      </c>
      <c r="E82" s="161">
        <f>IF(Table2[[#This Row],[Unit ]]="","",_xlfn.XLOOKUP(Table2[[#This Row],[Type]],'Muraba Veil Sale Summary'!A:A,'Muraba Veil Sale Summary'!P:P))</f>
        <v>2</v>
      </c>
      <c r="F82" s="162">
        <f>IF(Table2[[#This Row],[Unit ]]="","",_xlfn.XLOOKUP(Table2[[#This Row],[Type]],'Muraba Veil Sale Summary'!$A:$A,'Muraba Veil Sale Summary'!F:F))</f>
        <v>2218.7648507519998</v>
      </c>
      <c r="G82" s="162">
        <f>IF(Table2[[#This Row],[Unit ]]="","",_xlfn.XLOOKUP(Table2[[#This Row],[Type]],'Muraba Veil Sale Summary'!$A:$A,'Muraba Veil Sale Summary'!G:G))</f>
        <v>1619.322680576</v>
      </c>
      <c r="H82" s="162">
        <f t="shared" ref="H82" si="10">IFERROR(F82+G82,0)</f>
        <v>3838.0875313279998</v>
      </c>
      <c r="I82" s="163">
        <f>'Launches Residences'!$U$7</f>
        <v>0.3</v>
      </c>
      <c r="J82" s="162">
        <f>IF(Table2[[#This Row],[Unit ]]="","",F82+(G82*Table2[[#This Row],[Terrace Area]]))</f>
        <v>2704.5616549247998</v>
      </c>
      <c r="K82" s="8">
        <f>_xlfn.XLOOKUP(Table2[[#This Row],[Unit ]],'Launches Residences'!$E$15:$E$71,'Launches Residences'!$I$15:$I$71)</f>
        <v>10550</v>
      </c>
      <c r="L82" s="8">
        <f t="shared" ref="L82" si="11">IFERROR(J82*K82,0)</f>
        <v>28533125.459456638</v>
      </c>
      <c r="M82" s="3">
        <f>Table2[[#This Row],[Price/Sq.ft]]</f>
        <v>10550</v>
      </c>
      <c r="N82" s="8" t="e">
        <f>VLOOKUP(Table2[[#This Row],[Unit ]],'[1]Muraba Unit Wise Details '!$C$4:$L$67,10,FALSE)</f>
        <v>#N/A</v>
      </c>
      <c r="O82" s="8" t="e">
        <f>Table2[[#This Row],[Column2]]-Table2[[#This Row],[Price]]</f>
        <v>#N/A</v>
      </c>
      <c r="P82" s="8">
        <f>Table2[[#This Row],[Price]]/Table2[[#This Row],[Total Area
(Sq.ft)]]</f>
        <v>7434.2039431247722</v>
      </c>
      <c r="Q82" s="162">
        <f>Table2[[#This Row],[Price]]/Table2[[#This Row],[Sellable Area
(Sq. ft)]]</f>
        <v>10550</v>
      </c>
      <c r="R82" s="209"/>
      <c r="S82" s="183"/>
      <c r="U82" s="160"/>
      <c r="AC82" s="11"/>
      <c r="AE82" s="183"/>
      <c r="AF82" s="12"/>
      <c r="AG82" s="11"/>
      <c r="AH82" s="9"/>
      <c r="AN82" s="183"/>
    </row>
    <row r="83" spans="1:40" x14ac:dyDescent="0.35">
      <c r="A83" s="157" t="str">
        <f>IF(Table2[[#This Row],[Unit ]]="","","2 Bedroom")</f>
        <v>2 Bedroom</v>
      </c>
      <c r="B83" s="158" t="s">
        <v>21</v>
      </c>
      <c r="C83" s="159">
        <f>'Launches Residences'!F54</f>
        <v>4503</v>
      </c>
      <c r="D83" s="160" t="str">
        <f>LEFT(Table2[[#This Row],[Unit ]],2)</f>
        <v>45</v>
      </c>
      <c r="E83" s="161">
        <f>IF(Table2[[#This Row],[Unit ]]="","",_xlfn.XLOOKUP(Table2[[#This Row],[Type]],'Muraba Veil Sale Summary'!A:A,'Muraba Veil Sale Summary'!P:P))</f>
        <v>2</v>
      </c>
      <c r="F83" s="162">
        <f>IF(Table2[[#This Row],[Unit ]]="","",_xlfn.XLOOKUP(Table2[[#This Row],[Type]],'Muraba Veil Sale Summary'!$A:$A,'Muraba Veil Sale Summary'!F:F))</f>
        <v>2218.7648507519998</v>
      </c>
      <c r="G83" s="162">
        <f>IF(Table2[[#This Row],[Unit ]]="","",_xlfn.XLOOKUP(Table2[[#This Row],[Type]],'Muraba Veil Sale Summary'!$A:$A,'Muraba Veil Sale Summary'!G:G))</f>
        <v>1619.322680576</v>
      </c>
      <c r="H83" s="162">
        <f t="shared" ref="H83:H117" si="12">IFERROR(F83+G83,0)</f>
        <v>3838.0875313279998</v>
      </c>
      <c r="I83" s="163">
        <f>'Launches Residences'!$U$7</f>
        <v>0.3</v>
      </c>
      <c r="J83" s="162">
        <f>IF(Table2[[#This Row],[Unit ]]="","",F83+(G83*Table2[[#This Row],[Terrace Area]]))</f>
        <v>2704.5616549247998</v>
      </c>
      <c r="K83" s="8">
        <f>_xlfn.XLOOKUP(Table2[[#This Row],[Unit ]],'Launches Residences'!$F$15:$F$71,'Launches Residences'!$J$15:$J$71)</f>
        <v>10550</v>
      </c>
      <c r="L83" s="8">
        <f t="shared" ref="L83:L117" si="13">IFERROR(J83*K83,0)</f>
        <v>28533125.459456638</v>
      </c>
      <c r="M83" s="3">
        <f>Table2[[#This Row],[Price/Sq.ft]]</f>
        <v>10550</v>
      </c>
      <c r="N83" s="8" t="e">
        <f>VLOOKUP(Table2[[#This Row],[Unit ]],'[1]Muraba Unit Wise Details '!$C$4:$L$67,10,FALSE)</f>
        <v>#N/A</v>
      </c>
      <c r="O83" s="8" t="e">
        <f>Table2[[#This Row],[Column2]]-Table2[[#This Row],[Price]]</f>
        <v>#N/A</v>
      </c>
      <c r="P83" s="8">
        <f>Table2[[#This Row],[Price]]/Table2[[#This Row],[Total Area
(Sq.ft)]]</f>
        <v>7434.2039431247722</v>
      </c>
      <c r="Q83" s="162">
        <f>Table2[[#This Row],[Price]]/Table2[[#This Row],[Sellable Area
(Sq. ft)]]</f>
        <v>10550</v>
      </c>
      <c r="R83" s="209"/>
      <c r="S83" s="183"/>
      <c r="U83" s="160"/>
      <c r="AC83" s="11"/>
      <c r="AE83" s="183"/>
      <c r="AF83" s="12"/>
      <c r="AG83" s="11"/>
      <c r="AH83" s="9"/>
      <c r="AN83" s="183"/>
    </row>
    <row r="84" spans="1:40" x14ac:dyDescent="0.35">
      <c r="A84" s="157" t="str">
        <f>IF(Table2[[#This Row],[Unit ]]="","","2 Bedroom")</f>
        <v>2 Bedroom</v>
      </c>
      <c r="B84" s="158" t="s">
        <v>21</v>
      </c>
      <c r="C84" s="159">
        <f>'Launches Residences'!E55</f>
        <v>4602</v>
      </c>
      <c r="D84" s="160" t="str">
        <f>LEFT(Table2[[#This Row],[Unit ]],2)</f>
        <v>46</v>
      </c>
      <c r="E84" s="161">
        <f>IF(Table2[[#This Row],[Unit ]]="","",_xlfn.XLOOKUP(Table2[[#This Row],[Type]],'Muraba Veil Sale Summary'!A:A,'Muraba Veil Sale Summary'!P:P))</f>
        <v>2</v>
      </c>
      <c r="F84" s="162">
        <f>IF(Table2[[#This Row],[Unit ]]="","",_xlfn.XLOOKUP(Table2[[#This Row],[Type]],'Muraba Veil Sale Summary'!$A:$A,'Muraba Veil Sale Summary'!F:F))</f>
        <v>2218.7648507519998</v>
      </c>
      <c r="G84" s="162">
        <f>IF(Table2[[#This Row],[Unit ]]="","",_xlfn.XLOOKUP(Table2[[#This Row],[Type]],'Muraba Veil Sale Summary'!$A:$A,'Muraba Veil Sale Summary'!G:G))</f>
        <v>1619.322680576</v>
      </c>
      <c r="H84" s="162">
        <f t="shared" si="12"/>
        <v>3838.0875313279998</v>
      </c>
      <c r="I84" s="163">
        <f>'Launches Residences'!$U$7</f>
        <v>0.3</v>
      </c>
      <c r="J84" s="162">
        <f>IF(Table2[[#This Row],[Unit ]]="","",F84+(G84*Table2[[#This Row],[Terrace Area]]))</f>
        <v>2704.5616549247998</v>
      </c>
      <c r="K84" s="8">
        <f>_xlfn.XLOOKUP(Table2[[#This Row],[Unit ]],'Launches Residences'!$E$15:$E$71,'Launches Residences'!$I$15:$I$71)</f>
        <v>10700</v>
      </c>
      <c r="L84" s="8">
        <f t="shared" si="13"/>
        <v>28938809.707695358</v>
      </c>
      <c r="M84" s="3">
        <f>Table2[[#This Row],[Price/Sq.ft]]</f>
        <v>10700</v>
      </c>
      <c r="N84" s="8" t="e">
        <f>VLOOKUP(Table2[[#This Row],[Unit ]],'[1]Muraba Unit Wise Details '!$C$4:$L$67,10,FALSE)</f>
        <v>#N/A</v>
      </c>
      <c r="O84" s="8" t="e">
        <f>Table2[[#This Row],[Column2]]-Table2[[#This Row],[Price]]</f>
        <v>#N/A</v>
      </c>
      <c r="P84" s="8">
        <f>Table2[[#This Row],[Price]]/Table2[[#This Row],[Total Area
(Sq.ft)]]</f>
        <v>7539.9035252545082</v>
      </c>
      <c r="Q84" s="162">
        <f>Table2[[#This Row],[Price]]/Table2[[#This Row],[Sellable Area
(Sq. ft)]]</f>
        <v>10700</v>
      </c>
      <c r="R84" s="209"/>
      <c r="S84" s="183"/>
      <c r="U84" s="160"/>
      <c r="AC84" s="11"/>
      <c r="AE84" s="183"/>
      <c r="AF84" s="12"/>
      <c r="AG84" s="11"/>
      <c r="AH84" s="9"/>
      <c r="AN84" s="183"/>
    </row>
    <row r="85" spans="1:40" x14ac:dyDescent="0.35">
      <c r="A85" s="157" t="str">
        <f>IF(Table2[[#This Row],[Unit ]]="","","2 Bedroom")</f>
        <v>2 Bedroom</v>
      </c>
      <c r="B85" s="158" t="s">
        <v>21</v>
      </c>
      <c r="C85" s="159">
        <f>'Launches Residences'!F55</f>
        <v>4603</v>
      </c>
      <c r="D85" s="160" t="str">
        <f>LEFT(Table2[[#This Row],[Unit ]],2)</f>
        <v>46</v>
      </c>
      <c r="E85" s="161">
        <f>IF(Table2[[#This Row],[Unit ]]="","",_xlfn.XLOOKUP(Table2[[#This Row],[Type]],'Muraba Veil Sale Summary'!A:A,'Muraba Veil Sale Summary'!P:P))</f>
        <v>2</v>
      </c>
      <c r="F85" s="162">
        <f>IF(Table2[[#This Row],[Unit ]]="","",_xlfn.XLOOKUP(Table2[[#This Row],[Type]],'Muraba Veil Sale Summary'!$A:$A,'Muraba Veil Sale Summary'!F:F))</f>
        <v>2218.7648507519998</v>
      </c>
      <c r="G85" s="162">
        <f>IF(Table2[[#This Row],[Unit ]]="","",_xlfn.XLOOKUP(Table2[[#This Row],[Type]],'Muraba Veil Sale Summary'!$A:$A,'Muraba Veil Sale Summary'!G:G))</f>
        <v>1619.322680576</v>
      </c>
      <c r="H85" s="162">
        <f t="shared" si="12"/>
        <v>3838.0875313279998</v>
      </c>
      <c r="I85" s="163">
        <f>'Launches Residences'!$U$7</f>
        <v>0.3</v>
      </c>
      <c r="J85" s="162">
        <f>IF(Table2[[#This Row],[Unit ]]="","",F85+(G85*Table2[[#This Row],[Terrace Area]]))</f>
        <v>2704.5616549247998</v>
      </c>
      <c r="K85" s="8">
        <f>_xlfn.XLOOKUP(Table2[[#This Row],[Unit ]],'Launches Residences'!$F$15:$F$71,'Launches Residences'!$J$15:$J$71)</f>
        <v>10700</v>
      </c>
      <c r="L85" s="8">
        <f t="shared" si="13"/>
        <v>28938809.707695358</v>
      </c>
      <c r="M85" s="3">
        <f>Table2[[#This Row],[Price/Sq.ft]]</f>
        <v>10700</v>
      </c>
      <c r="N85" s="8" t="e">
        <f>VLOOKUP(Table2[[#This Row],[Unit ]],'[1]Muraba Unit Wise Details '!$C$4:$L$67,10,FALSE)</f>
        <v>#N/A</v>
      </c>
      <c r="O85" s="8" t="e">
        <f>Table2[[#This Row],[Column2]]-Table2[[#This Row],[Price]]</f>
        <v>#N/A</v>
      </c>
      <c r="P85" s="8">
        <f>Table2[[#This Row],[Price]]/Table2[[#This Row],[Total Area
(Sq.ft)]]</f>
        <v>7539.9035252545082</v>
      </c>
      <c r="Q85" s="162">
        <f>Table2[[#This Row],[Price]]/Table2[[#This Row],[Sellable Area
(Sq. ft)]]</f>
        <v>10700</v>
      </c>
      <c r="R85" s="209"/>
      <c r="S85" s="183"/>
      <c r="T85" s="183"/>
      <c r="U85" s="160"/>
      <c r="AE85" s="183"/>
      <c r="AF85" s="12"/>
      <c r="AG85" s="11"/>
    </row>
    <row r="86" spans="1:40" x14ac:dyDescent="0.35">
      <c r="A86" s="157" t="str">
        <f>IF(Table2[[#This Row],[Unit ]]="","","2 Bedroom")</f>
        <v>2 Bedroom</v>
      </c>
      <c r="B86" s="158" t="s">
        <v>21</v>
      </c>
      <c r="C86" s="159">
        <f>'Launches Residences'!E56</f>
        <v>4702</v>
      </c>
      <c r="D86" s="160" t="str">
        <f>LEFT(Table2[[#This Row],[Unit ]],2)</f>
        <v>47</v>
      </c>
      <c r="E86" s="161">
        <f>IF(Table2[[#This Row],[Unit ]]="","",_xlfn.XLOOKUP(Table2[[#This Row],[Type]],'Muraba Veil Sale Summary'!A:A,'Muraba Veil Sale Summary'!P:P))</f>
        <v>2</v>
      </c>
      <c r="F86" s="162">
        <f>IF(Table2[[#This Row],[Unit ]]="","",_xlfn.XLOOKUP(Table2[[#This Row],[Type]],'Muraba Veil Sale Summary'!$A:$A,'Muraba Veil Sale Summary'!F:F))</f>
        <v>2218.7648507519998</v>
      </c>
      <c r="G86" s="162">
        <f>IF(Table2[[#This Row],[Unit ]]="","",_xlfn.XLOOKUP(Table2[[#This Row],[Type]],'Muraba Veil Sale Summary'!$A:$A,'Muraba Veil Sale Summary'!G:G))</f>
        <v>1619.322680576</v>
      </c>
      <c r="H86" s="162">
        <f t="shared" si="12"/>
        <v>3838.0875313279998</v>
      </c>
      <c r="I86" s="163">
        <f>'Launches Residences'!$U$7</f>
        <v>0.3</v>
      </c>
      <c r="J86" s="162">
        <f>IF(Table2[[#This Row],[Unit ]]="","",F86+(G86*Table2[[#This Row],[Terrace Area]]))</f>
        <v>2704.5616549247998</v>
      </c>
      <c r="K86" s="8">
        <f>_xlfn.XLOOKUP(Table2[[#This Row],[Unit ]],'Launches Residences'!$E$15:$E$71,'Launches Residences'!$I$15:$I$71)</f>
        <v>10850</v>
      </c>
      <c r="L86" s="8">
        <f t="shared" si="13"/>
        <v>29344493.955934078</v>
      </c>
      <c r="M86" s="3">
        <f>Table2[[#This Row],[Price/Sq.ft]]</f>
        <v>10850</v>
      </c>
      <c r="N86" s="8" t="e">
        <f>VLOOKUP(Table2[[#This Row],[Unit ]],'[1]Muraba Unit Wise Details '!$C$4:$L$67,10,FALSE)</f>
        <v>#N/A</v>
      </c>
      <c r="O86" s="8" t="e">
        <f>Table2[[#This Row],[Column2]]-Table2[[#This Row],[Price]]</f>
        <v>#N/A</v>
      </c>
      <c r="P86" s="8">
        <f>Table2[[#This Row],[Price]]/Table2[[#This Row],[Total Area
(Sq.ft)]]</f>
        <v>7645.6031073842441</v>
      </c>
      <c r="Q86" s="162">
        <f>Table2[[#This Row],[Price]]/Table2[[#This Row],[Sellable Area
(Sq. ft)]]</f>
        <v>10850</v>
      </c>
      <c r="R86" s="209"/>
      <c r="S86" s="183"/>
      <c r="T86" s="183"/>
      <c r="U86" s="160"/>
      <c r="AE86" s="183"/>
      <c r="AF86" s="12"/>
      <c r="AG86" s="11"/>
      <c r="AH86" s="9"/>
    </row>
    <row r="87" spans="1:40" x14ac:dyDescent="0.35">
      <c r="A87" s="157" t="str">
        <f>IF(Table2[[#This Row],[Unit ]]="","","2 Bedroom")</f>
        <v>2 Bedroom</v>
      </c>
      <c r="B87" s="158" t="s">
        <v>21</v>
      </c>
      <c r="C87" s="159">
        <f>'Launches Residences'!F56</f>
        <v>4703</v>
      </c>
      <c r="D87" s="160" t="str">
        <f>LEFT(Table2[[#This Row],[Unit ]],2)</f>
        <v>47</v>
      </c>
      <c r="E87" s="161">
        <f>IF(Table2[[#This Row],[Unit ]]="","",_xlfn.XLOOKUP(Table2[[#This Row],[Type]],'Muraba Veil Sale Summary'!A:A,'Muraba Veil Sale Summary'!P:P))</f>
        <v>2</v>
      </c>
      <c r="F87" s="162">
        <f>IF(Table2[[#This Row],[Unit ]]="","",_xlfn.XLOOKUP(Table2[[#This Row],[Type]],'Muraba Veil Sale Summary'!$A:$A,'Muraba Veil Sale Summary'!F:F))</f>
        <v>2218.7648507519998</v>
      </c>
      <c r="G87" s="162">
        <f>IF(Table2[[#This Row],[Unit ]]="","",_xlfn.XLOOKUP(Table2[[#This Row],[Type]],'Muraba Veil Sale Summary'!$A:$A,'Muraba Veil Sale Summary'!G:G))</f>
        <v>1619.322680576</v>
      </c>
      <c r="H87" s="162">
        <f t="shared" si="12"/>
        <v>3838.0875313279998</v>
      </c>
      <c r="I87" s="163">
        <f>'Launches Residences'!$U$7</f>
        <v>0.3</v>
      </c>
      <c r="J87" s="162">
        <f>IF(Table2[[#This Row],[Unit ]]="","",F87+(G87*Table2[[#This Row],[Terrace Area]]))</f>
        <v>2704.5616549247998</v>
      </c>
      <c r="K87" s="8">
        <f>_xlfn.XLOOKUP(Table2[[#This Row],[Unit ]],'Launches Residences'!$F$15:$F$71,'Launches Residences'!$J$15:$J$71)</f>
        <v>10850</v>
      </c>
      <c r="L87" s="8">
        <f t="shared" si="13"/>
        <v>29344493.955934078</v>
      </c>
      <c r="M87" s="3">
        <f>Table2[[#This Row],[Price/Sq.ft]]</f>
        <v>10850</v>
      </c>
      <c r="N87" s="8" t="e">
        <f>VLOOKUP(Table2[[#This Row],[Unit ]],'[1]Muraba Unit Wise Details '!$C$4:$L$67,10,FALSE)</f>
        <v>#N/A</v>
      </c>
      <c r="O87" s="8" t="e">
        <f>Table2[[#This Row],[Column2]]-Table2[[#This Row],[Price]]</f>
        <v>#N/A</v>
      </c>
      <c r="P87" s="8">
        <f>Table2[[#This Row],[Price]]/Table2[[#This Row],[Total Area
(Sq.ft)]]</f>
        <v>7645.6031073842441</v>
      </c>
      <c r="Q87" s="162">
        <f>Table2[[#This Row],[Price]]/Table2[[#This Row],[Sellable Area
(Sq. ft)]]</f>
        <v>10850</v>
      </c>
      <c r="R87" s="209"/>
      <c r="S87" s="183"/>
      <c r="T87" s="183"/>
      <c r="U87" s="160"/>
      <c r="AE87" s="183"/>
      <c r="AF87" s="12"/>
      <c r="AG87" s="11"/>
      <c r="AH87" s="9"/>
    </row>
    <row r="88" spans="1:40" x14ac:dyDescent="0.35">
      <c r="A88" s="157" t="str">
        <f>IF(Table2[[#This Row],[Unit ]]="","","2 Bedroom")</f>
        <v>2 Bedroom</v>
      </c>
      <c r="B88" s="158" t="s">
        <v>21</v>
      </c>
      <c r="C88" s="159">
        <f>'Launches Residences'!E57</f>
        <v>4802</v>
      </c>
      <c r="D88" s="160" t="str">
        <f>LEFT(Table2[[#This Row],[Unit ]],2)</f>
        <v>48</v>
      </c>
      <c r="E88" s="161">
        <f>IF(Table2[[#This Row],[Unit ]]="","",_xlfn.XLOOKUP(Table2[[#This Row],[Type]],'Muraba Veil Sale Summary'!A:A,'Muraba Veil Sale Summary'!P:P))</f>
        <v>2</v>
      </c>
      <c r="F88" s="162">
        <f>IF(Table2[[#This Row],[Unit ]]="","",_xlfn.XLOOKUP(Table2[[#This Row],[Type]],'Muraba Veil Sale Summary'!$A:$A,'Muraba Veil Sale Summary'!F:F))</f>
        <v>2218.7648507519998</v>
      </c>
      <c r="G88" s="162">
        <f>IF(Table2[[#This Row],[Unit ]]="","",_xlfn.XLOOKUP(Table2[[#This Row],[Type]],'Muraba Veil Sale Summary'!$A:$A,'Muraba Veil Sale Summary'!G:G))</f>
        <v>1619.322680576</v>
      </c>
      <c r="H88" s="162">
        <f t="shared" si="12"/>
        <v>3838.0875313279998</v>
      </c>
      <c r="I88" s="163">
        <f>'Launches Residences'!$U$7</f>
        <v>0.3</v>
      </c>
      <c r="J88" s="162">
        <f>IF(Table2[[#This Row],[Unit ]]="","",F88+(G88*Table2[[#This Row],[Terrace Area]]))</f>
        <v>2704.5616549247998</v>
      </c>
      <c r="K88" s="8">
        <f>_xlfn.XLOOKUP(Table2[[#This Row],[Unit ]],'Launches Residences'!$E$15:$E$71,'Launches Residences'!$I$15:$I$71)</f>
        <v>11000</v>
      </c>
      <c r="L88" s="8">
        <f t="shared" si="13"/>
        <v>29750178.204172798</v>
      </c>
      <c r="M88" s="3">
        <f>Table2[[#This Row],[Price/Sq.ft]]</f>
        <v>11000</v>
      </c>
      <c r="N88" s="8" t="e">
        <f>VLOOKUP(Table2[[#This Row],[Unit ]],'[1]Muraba Unit Wise Details '!$C$4:$L$67,10,FALSE)</f>
        <v>#N/A</v>
      </c>
      <c r="O88" s="8" t="e">
        <f>Table2[[#This Row],[Column2]]-Table2[[#This Row],[Price]]</f>
        <v>#N/A</v>
      </c>
      <c r="P88" s="8">
        <f>Table2[[#This Row],[Price]]/Table2[[#This Row],[Total Area
(Sq.ft)]]</f>
        <v>7751.3026895139801</v>
      </c>
      <c r="Q88" s="162">
        <f>Table2[[#This Row],[Price]]/Table2[[#This Row],[Sellable Area
(Sq. ft)]]</f>
        <v>11000</v>
      </c>
      <c r="R88" s="209"/>
      <c r="S88" s="183"/>
      <c r="T88" s="183"/>
      <c r="U88" s="160"/>
      <c r="AE88" s="183"/>
      <c r="AF88" s="12"/>
      <c r="AG88" s="11"/>
      <c r="AH88" s="9"/>
    </row>
    <row r="89" spans="1:40" x14ac:dyDescent="0.35">
      <c r="A89" s="157" t="str">
        <f>IF(Table2[[#This Row],[Unit ]]="","","2 Bedroom")</f>
        <v>2 Bedroom</v>
      </c>
      <c r="B89" s="158" t="s">
        <v>21</v>
      </c>
      <c r="C89" s="159">
        <f>'Launches Residences'!F57</f>
        <v>4803</v>
      </c>
      <c r="D89" s="160" t="str">
        <f>LEFT(Table2[[#This Row],[Unit ]],2)</f>
        <v>48</v>
      </c>
      <c r="E89" s="161">
        <f>IF(Table2[[#This Row],[Unit ]]="","",_xlfn.XLOOKUP(Table2[[#This Row],[Type]],'Muraba Veil Sale Summary'!A:A,'Muraba Veil Sale Summary'!P:P))</f>
        <v>2</v>
      </c>
      <c r="F89" s="162">
        <f>IF(Table2[[#This Row],[Unit ]]="","",_xlfn.XLOOKUP(Table2[[#This Row],[Type]],'Muraba Veil Sale Summary'!$A:$A,'Muraba Veil Sale Summary'!F:F))</f>
        <v>2218.7648507519998</v>
      </c>
      <c r="G89" s="162">
        <f>IF(Table2[[#This Row],[Unit ]]="","",_xlfn.XLOOKUP(Table2[[#This Row],[Type]],'Muraba Veil Sale Summary'!$A:$A,'Muraba Veil Sale Summary'!G:G))</f>
        <v>1619.322680576</v>
      </c>
      <c r="H89" s="162">
        <f t="shared" si="12"/>
        <v>3838.0875313279998</v>
      </c>
      <c r="I89" s="163">
        <f>'Launches Residences'!$U$7</f>
        <v>0.3</v>
      </c>
      <c r="J89" s="162">
        <f>IF(Table2[[#This Row],[Unit ]]="","",F89+(G89*Table2[[#This Row],[Terrace Area]]))</f>
        <v>2704.5616549247998</v>
      </c>
      <c r="K89" s="8">
        <f>_xlfn.XLOOKUP(Table2[[#This Row],[Unit ]],'Launches Residences'!$F$15:$F$71,'Launches Residences'!$J$15:$J$71)</f>
        <v>11000</v>
      </c>
      <c r="L89" s="8">
        <f t="shared" si="13"/>
        <v>29750178.204172798</v>
      </c>
      <c r="M89" s="3">
        <f>Table2[[#This Row],[Price/Sq.ft]]</f>
        <v>11000</v>
      </c>
      <c r="N89" s="8" t="e">
        <f>VLOOKUP(Table2[[#This Row],[Unit ]],'[1]Muraba Unit Wise Details '!$C$4:$L$67,10,FALSE)</f>
        <v>#N/A</v>
      </c>
      <c r="O89" s="8" t="e">
        <f>Table2[[#This Row],[Column2]]-Table2[[#This Row],[Price]]</f>
        <v>#N/A</v>
      </c>
      <c r="P89" s="8">
        <f>Table2[[#This Row],[Price]]/Table2[[#This Row],[Total Area
(Sq.ft)]]</f>
        <v>7751.3026895139801</v>
      </c>
      <c r="Q89" s="162">
        <f>Table2[[#This Row],[Price]]/Table2[[#This Row],[Sellable Area
(Sq. ft)]]</f>
        <v>11000</v>
      </c>
      <c r="R89" s="209"/>
      <c r="S89" s="183"/>
      <c r="T89" s="183"/>
      <c r="U89" s="160"/>
      <c r="AE89" s="183"/>
      <c r="AF89" s="12"/>
      <c r="AG89" s="11"/>
      <c r="AH89" s="9"/>
    </row>
    <row r="90" spans="1:40" x14ac:dyDescent="0.35">
      <c r="A90" s="157" t="str">
        <f>IF(Table2[[#This Row],[Unit ]]="","","2 Bedroom")</f>
        <v>2 Bedroom</v>
      </c>
      <c r="B90" s="158" t="s">
        <v>21</v>
      </c>
      <c r="C90" s="159">
        <f>'Launches Residences'!E58</f>
        <v>4902</v>
      </c>
      <c r="D90" s="160" t="str">
        <f>LEFT(Table2[[#This Row],[Unit ]],2)</f>
        <v>49</v>
      </c>
      <c r="E90" s="161">
        <f>IF(Table2[[#This Row],[Unit ]]="","",_xlfn.XLOOKUP(Table2[[#This Row],[Type]],'Muraba Veil Sale Summary'!A:A,'Muraba Veil Sale Summary'!P:P))</f>
        <v>2</v>
      </c>
      <c r="F90" s="162">
        <f>IF(Table2[[#This Row],[Unit ]]="","",_xlfn.XLOOKUP(Table2[[#This Row],[Type]],'Muraba Veil Sale Summary'!$A:$A,'Muraba Veil Sale Summary'!F:F))</f>
        <v>2218.7648507519998</v>
      </c>
      <c r="G90" s="162">
        <f>IF(Table2[[#This Row],[Unit ]]="","",_xlfn.XLOOKUP(Table2[[#This Row],[Type]],'Muraba Veil Sale Summary'!$A:$A,'Muraba Veil Sale Summary'!G:G))</f>
        <v>1619.322680576</v>
      </c>
      <c r="H90" s="162">
        <f t="shared" si="12"/>
        <v>3838.0875313279998</v>
      </c>
      <c r="I90" s="163">
        <f>'Launches Residences'!$U$7</f>
        <v>0.3</v>
      </c>
      <c r="J90" s="162">
        <f>IF(Table2[[#This Row],[Unit ]]="","",F90+(G90*Table2[[#This Row],[Terrace Area]]))</f>
        <v>2704.5616549247998</v>
      </c>
      <c r="K90" s="8">
        <f>_xlfn.XLOOKUP(Table2[[#This Row],[Unit ]],'Launches Residences'!$E$15:$E$71,'Launches Residences'!$I$15:$I$71)</f>
        <v>11150</v>
      </c>
      <c r="L90" s="8">
        <f t="shared" si="13"/>
        <v>30155862.452411518</v>
      </c>
      <c r="M90" s="3">
        <f>Table2[[#This Row],[Price/Sq.ft]]</f>
        <v>11150</v>
      </c>
      <c r="N90" s="8" t="e">
        <f>VLOOKUP(Table2[[#This Row],[Unit ]],'[1]Muraba Unit Wise Details '!$C$4:$L$67,10,FALSE)</f>
        <v>#N/A</v>
      </c>
      <c r="O90" s="8" t="e">
        <f>Table2[[#This Row],[Column2]]-Table2[[#This Row],[Price]]</f>
        <v>#N/A</v>
      </c>
      <c r="P90" s="8">
        <f>Table2[[#This Row],[Price]]/Table2[[#This Row],[Total Area
(Sq.ft)]]</f>
        <v>7857.0022716437161</v>
      </c>
      <c r="Q90" s="162">
        <f>Table2[[#This Row],[Price]]/Table2[[#This Row],[Sellable Area
(Sq. ft)]]</f>
        <v>11150</v>
      </c>
      <c r="R90" s="209"/>
      <c r="S90" s="183"/>
      <c r="T90" s="183"/>
      <c r="U90" s="160"/>
      <c r="AE90" s="183"/>
      <c r="AF90" s="12"/>
      <c r="AG90" s="11"/>
      <c r="AH90" s="9"/>
    </row>
    <row r="91" spans="1:40" x14ac:dyDescent="0.35">
      <c r="A91" s="157" t="str">
        <f>IF(Table2[[#This Row],[Unit ]]="","","2 Bedroom")</f>
        <v>2 Bedroom</v>
      </c>
      <c r="B91" s="158" t="s">
        <v>21</v>
      </c>
      <c r="C91" s="159">
        <f>'Launches Residences'!F58</f>
        <v>4903</v>
      </c>
      <c r="D91" s="160" t="str">
        <f>LEFT(Table2[[#This Row],[Unit ]],2)</f>
        <v>49</v>
      </c>
      <c r="E91" s="161">
        <f>IF(Table2[[#This Row],[Unit ]]="","",_xlfn.XLOOKUP(Table2[[#This Row],[Type]],'Muraba Veil Sale Summary'!A:A,'Muraba Veil Sale Summary'!P:P))</f>
        <v>2</v>
      </c>
      <c r="F91" s="162">
        <f>IF(Table2[[#This Row],[Unit ]]="","",_xlfn.XLOOKUP(Table2[[#This Row],[Type]],'Muraba Veil Sale Summary'!$A:$A,'Muraba Veil Sale Summary'!F:F))</f>
        <v>2218.7648507519998</v>
      </c>
      <c r="G91" s="162">
        <f>IF(Table2[[#This Row],[Unit ]]="","",_xlfn.XLOOKUP(Table2[[#This Row],[Type]],'Muraba Veil Sale Summary'!$A:$A,'Muraba Veil Sale Summary'!G:G))</f>
        <v>1619.322680576</v>
      </c>
      <c r="H91" s="162">
        <f t="shared" si="12"/>
        <v>3838.0875313279998</v>
      </c>
      <c r="I91" s="163">
        <f>'Launches Residences'!$U$7</f>
        <v>0.3</v>
      </c>
      <c r="J91" s="162">
        <f>IF(Table2[[#This Row],[Unit ]]="","",F91+(G91*Table2[[#This Row],[Terrace Area]]))</f>
        <v>2704.5616549247998</v>
      </c>
      <c r="K91" s="8">
        <f>_xlfn.XLOOKUP(Table2[[#This Row],[Unit ]],'Launches Residences'!$F$15:$F$71,'Launches Residences'!$J$15:$J$71)</f>
        <v>11150</v>
      </c>
      <c r="L91" s="8">
        <f t="shared" si="13"/>
        <v>30155862.452411518</v>
      </c>
      <c r="M91" s="3">
        <f>Table2[[#This Row],[Price/Sq.ft]]</f>
        <v>11150</v>
      </c>
      <c r="N91" s="8" t="e">
        <f>VLOOKUP(Table2[[#This Row],[Unit ]],'[1]Muraba Unit Wise Details '!$C$4:$L$67,10,FALSE)</f>
        <v>#N/A</v>
      </c>
      <c r="O91" s="8" t="e">
        <f>Table2[[#This Row],[Column2]]-Table2[[#This Row],[Price]]</f>
        <v>#N/A</v>
      </c>
      <c r="P91" s="8">
        <f>Table2[[#This Row],[Price]]/Table2[[#This Row],[Total Area
(Sq.ft)]]</f>
        <v>7857.0022716437161</v>
      </c>
      <c r="Q91" s="162">
        <f>Table2[[#This Row],[Price]]/Table2[[#This Row],[Sellable Area
(Sq. ft)]]</f>
        <v>11150</v>
      </c>
      <c r="R91" s="209"/>
      <c r="S91" s="183"/>
      <c r="T91" s="183"/>
      <c r="U91" s="160"/>
      <c r="AE91" s="183"/>
      <c r="AF91" s="12"/>
      <c r="AG91" s="11"/>
      <c r="AH91" s="9"/>
    </row>
    <row r="92" spans="1:40" x14ac:dyDescent="0.35">
      <c r="A92" s="157" t="str">
        <f>IF(Table2[[#This Row],[Unit ]]="","","2 Bedroom")</f>
        <v>2 Bedroom</v>
      </c>
      <c r="B92" s="158" t="s">
        <v>21</v>
      </c>
      <c r="C92" s="159">
        <f>'Launches Residences'!E59</f>
        <v>5102</v>
      </c>
      <c r="D92" s="160" t="str">
        <f>LEFT(Table2[[#This Row],[Unit ]],2)</f>
        <v>51</v>
      </c>
      <c r="E92" s="161">
        <f>IF(Table2[[#This Row],[Unit ]]="","",_xlfn.XLOOKUP(Table2[[#This Row],[Type]],'Muraba Veil Sale Summary'!A:A,'Muraba Veil Sale Summary'!P:P))</f>
        <v>2</v>
      </c>
      <c r="F92" s="162">
        <f>IF(Table2[[#This Row],[Unit ]]="","",_xlfn.XLOOKUP(Table2[[#This Row],[Type]],'Muraba Veil Sale Summary'!$A:$A,'Muraba Veil Sale Summary'!F:F))</f>
        <v>2218.7648507519998</v>
      </c>
      <c r="G92" s="162">
        <f>IF(Table2[[#This Row],[Unit ]]="","",_xlfn.XLOOKUP(Table2[[#This Row],[Type]],'Muraba Veil Sale Summary'!$A:$A,'Muraba Veil Sale Summary'!G:G))</f>
        <v>1619.322680576</v>
      </c>
      <c r="H92" s="162">
        <f t="shared" si="12"/>
        <v>3838.0875313279998</v>
      </c>
      <c r="I92" s="163">
        <f>'Launches Residences'!$U$7</f>
        <v>0.3</v>
      </c>
      <c r="J92" s="162">
        <f>IF(Table2[[#This Row],[Unit ]]="","",F92+(G92*Table2[[#This Row],[Terrace Area]]))</f>
        <v>2704.5616549247998</v>
      </c>
      <c r="K92" s="8">
        <f>_xlfn.XLOOKUP(Table2[[#This Row],[Unit ]],'Launches Residences'!$E$15:$E$71,'Launches Residences'!$I$15:$I$71)</f>
        <v>11300</v>
      </c>
      <c r="L92" s="8">
        <f t="shared" si="13"/>
        <v>30561546.700650238</v>
      </c>
      <c r="M92" s="3">
        <f>Table2[[#This Row],[Price/Sq.ft]]</f>
        <v>11300</v>
      </c>
      <c r="N92" s="8" t="e">
        <f>VLOOKUP(Table2[[#This Row],[Unit ]],'[1]Muraba Unit Wise Details '!$C$4:$L$67,10,FALSE)</f>
        <v>#N/A</v>
      </c>
      <c r="O92" s="8" t="e">
        <f>Table2[[#This Row],[Column2]]-Table2[[#This Row],[Price]]</f>
        <v>#N/A</v>
      </c>
      <c r="P92" s="8">
        <f>Table2[[#This Row],[Price]]/Table2[[#This Row],[Total Area
(Sq.ft)]]</f>
        <v>7962.7018537734521</v>
      </c>
      <c r="Q92" s="162">
        <f>Table2[[#This Row],[Price]]/Table2[[#This Row],[Sellable Area
(Sq. ft)]]</f>
        <v>11300</v>
      </c>
      <c r="R92" s="209"/>
      <c r="S92" s="183"/>
      <c r="T92" s="183"/>
      <c r="U92" s="160"/>
      <c r="AE92" s="183"/>
      <c r="AF92" s="12"/>
      <c r="AG92" s="11"/>
      <c r="AH92" s="9"/>
    </row>
    <row r="93" spans="1:40" x14ac:dyDescent="0.35">
      <c r="A93" s="157" t="str">
        <f>IF(Table2[[#This Row],[Unit ]]="","","2 Bedroom")</f>
        <v>2 Bedroom</v>
      </c>
      <c r="B93" s="158" t="s">
        <v>21</v>
      </c>
      <c r="C93" s="159">
        <f>'Launches Residences'!F59</f>
        <v>5103</v>
      </c>
      <c r="D93" s="160" t="str">
        <f>LEFT(Table2[[#This Row],[Unit ]],2)</f>
        <v>51</v>
      </c>
      <c r="E93" s="161">
        <f>IF(Table2[[#This Row],[Unit ]]="","",_xlfn.XLOOKUP(Table2[[#This Row],[Type]],'Muraba Veil Sale Summary'!A:A,'Muraba Veil Sale Summary'!P:P))</f>
        <v>2</v>
      </c>
      <c r="F93" s="162">
        <f>IF(Table2[[#This Row],[Unit ]]="","",_xlfn.XLOOKUP(Table2[[#This Row],[Type]],'Muraba Veil Sale Summary'!$A:$A,'Muraba Veil Sale Summary'!F:F))</f>
        <v>2218.7648507519998</v>
      </c>
      <c r="G93" s="162">
        <f>IF(Table2[[#This Row],[Unit ]]="","",_xlfn.XLOOKUP(Table2[[#This Row],[Type]],'Muraba Veil Sale Summary'!$A:$A,'Muraba Veil Sale Summary'!G:G))</f>
        <v>1619.322680576</v>
      </c>
      <c r="H93" s="162">
        <f t="shared" si="12"/>
        <v>3838.0875313279998</v>
      </c>
      <c r="I93" s="163">
        <f>'Launches Residences'!$U$7</f>
        <v>0.3</v>
      </c>
      <c r="J93" s="162">
        <f>IF(Table2[[#This Row],[Unit ]]="","",F93+(G93*Table2[[#This Row],[Terrace Area]]))</f>
        <v>2704.5616549247998</v>
      </c>
      <c r="K93" s="8">
        <f>_xlfn.XLOOKUP(Table2[[#This Row],[Unit ]],'Launches Residences'!$F$15:$F$71,'Launches Residences'!$J$15:$J$71)</f>
        <v>11300</v>
      </c>
      <c r="L93" s="8">
        <f t="shared" si="13"/>
        <v>30561546.700650238</v>
      </c>
      <c r="M93" s="3">
        <f>Table2[[#This Row],[Price/Sq.ft]]</f>
        <v>11300</v>
      </c>
      <c r="N93" s="8" t="e">
        <f>VLOOKUP(Table2[[#This Row],[Unit ]],'[1]Muraba Unit Wise Details '!$C$4:$L$67,10,FALSE)</f>
        <v>#N/A</v>
      </c>
      <c r="O93" s="8" t="e">
        <f>Table2[[#This Row],[Column2]]-Table2[[#This Row],[Price]]</f>
        <v>#N/A</v>
      </c>
      <c r="P93" s="8">
        <f>Table2[[#This Row],[Price]]/Table2[[#This Row],[Total Area
(Sq.ft)]]</f>
        <v>7962.7018537734521</v>
      </c>
      <c r="Q93" s="162">
        <f>Table2[[#This Row],[Price]]/Table2[[#This Row],[Sellable Area
(Sq. ft)]]</f>
        <v>11300</v>
      </c>
      <c r="R93" s="209"/>
      <c r="S93" s="183"/>
      <c r="T93" s="183"/>
      <c r="U93" s="160"/>
      <c r="AE93" s="183"/>
      <c r="AF93" s="12"/>
      <c r="AG93" s="11"/>
      <c r="AH93" s="9"/>
    </row>
    <row r="94" spans="1:40" x14ac:dyDescent="0.35">
      <c r="A94" s="157" t="str">
        <f>IF(Table2[[#This Row],[Unit ]]="","","2 Bedroom")</f>
        <v>2 Bedroom</v>
      </c>
      <c r="B94" s="158" t="s">
        <v>21</v>
      </c>
      <c r="C94" s="159">
        <f>'Launches Residences'!E60</f>
        <v>5202</v>
      </c>
      <c r="D94" s="160" t="str">
        <f>LEFT(Table2[[#This Row],[Unit ]],2)</f>
        <v>52</v>
      </c>
      <c r="E94" s="161">
        <f>IF(Table2[[#This Row],[Unit ]]="","",_xlfn.XLOOKUP(Table2[[#This Row],[Type]],'Muraba Veil Sale Summary'!A:A,'Muraba Veil Sale Summary'!P:P))</f>
        <v>2</v>
      </c>
      <c r="F94" s="162">
        <f>IF(Table2[[#This Row],[Unit ]]="","",_xlfn.XLOOKUP(Table2[[#This Row],[Type]],'Muraba Veil Sale Summary'!$A:$A,'Muraba Veil Sale Summary'!F:F))</f>
        <v>2218.7648507519998</v>
      </c>
      <c r="G94" s="162">
        <f>IF(Table2[[#This Row],[Unit ]]="","",_xlfn.XLOOKUP(Table2[[#This Row],[Type]],'Muraba Veil Sale Summary'!$A:$A,'Muraba Veil Sale Summary'!G:G))</f>
        <v>1619.322680576</v>
      </c>
      <c r="H94" s="162">
        <f t="shared" si="12"/>
        <v>3838.0875313279998</v>
      </c>
      <c r="I94" s="163">
        <f>'Launches Residences'!$U$7</f>
        <v>0.3</v>
      </c>
      <c r="J94" s="162">
        <f>IF(Table2[[#This Row],[Unit ]]="","",F94+(G94*Table2[[#This Row],[Terrace Area]]))</f>
        <v>2704.5616549247998</v>
      </c>
      <c r="K94" s="8">
        <f>_xlfn.XLOOKUP(Table2[[#This Row],[Unit ]],'Launches Residences'!$E$15:$E$71,'Launches Residences'!$I$15:$I$71)</f>
        <v>11450</v>
      </c>
      <c r="L94" s="8">
        <f t="shared" si="13"/>
        <v>30967230.948888958</v>
      </c>
      <c r="M94" s="3">
        <f>Table2[[#This Row],[Price/Sq.ft]]</f>
        <v>11450</v>
      </c>
      <c r="N94" s="8" t="e">
        <f>VLOOKUP(Table2[[#This Row],[Unit ]],'[1]Muraba Unit Wise Details '!$C$4:$L$67,10,FALSE)</f>
        <v>#N/A</v>
      </c>
      <c r="O94" s="8" t="e">
        <f>Table2[[#This Row],[Column2]]-Table2[[#This Row],[Price]]</f>
        <v>#N/A</v>
      </c>
      <c r="P94" s="8">
        <f>Table2[[#This Row],[Price]]/Table2[[#This Row],[Total Area
(Sq.ft)]]</f>
        <v>8068.401435903188</v>
      </c>
      <c r="Q94" s="162">
        <f>Table2[[#This Row],[Price]]/Table2[[#This Row],[Sellable Area
(Sq. ft)]]</f>
        <v>11450</v>
      </c>
      <c r="R94" s="209"/>
      <c r="S94" s="183"/>
      <c r="T94" s="183"/>
      <c r="U94" s="160"/>
      <c r="AE94" s="183"/>
      <c r="AF94" s="12"/>
      <c r="AG94" s="11"/>
      <c r="AH94" s="9"/>
    </row>
    <row r="95" spans="1:40" x14ac:dyDescent="0.35">
      <c r="A95" s="157" t="str">
        <f>IF(Table2[[#This Row],[Unit ]]="","","2 Bedroom")</f>
        <v>2 Bedroom</v>
      </c>
      <c r="B95" s="158" t="s">
        <v>21</v>
      </c>
      <c r="C95" s="159">
        <f>'Launches Residences'!F60</f>
        <v>5203</v>
      </c>
      <c r="D95" s="160" t="str">
        <f>LEFT(Table2[[#This Row],[Unit ]],2)</f>
        <v>52</v>
      </c>
      <c r="E95" s="161">
        <f>IF(Table2[[#This Row],[Unit ]]="","",_xlfn.XLOOKUP(Table2[[#This Row],[Type]],'Muraba Veil Sale Summary'!A:A,'Muraba Veil Sale Summary'!P:P))</f>
        <v>2</v>
      </c>
      <c r="F95" s="162">
        <f>IF(Table2[[#This Row],[Unit ]]="","",_xlfn.XLOOKUP(Table2[[#This Row],[Type]],'Muraba Veil Sale Summary'!$A:$A,'Muraba Veil Sale Summary'!F:F))</f>
        <v>2218.7648507519998</v>
      </c>
      <c r="G95" s="162">
        <f>IF(Table2[[#This Row],[Unit ]]="","",_xlfn.XLOOKUP(Table2[[#This Row],[Type]],'Muraba Veil Sale Summary'!$A:$A,'Muraba Veil Sale Summary'!G:G))</f>
        <v>1619.322680576</v>
      </c>
      <c r="H95" s="162">
        <f t="shared" si="12"/>
        <v>3838.0875313279998</v>
      </c>
      <c r="I95" s="163">
        <f>'Launches Residences'!$U$7</f>
        <v>0.3</v>
      </c>
      <c r="J95" s="162">
        <f>IF(Table2[[#This Row],[Unit ]]="","",F95+(G95*Table2[[#This Row],[Terrace Area]]))</f>
        <v>2704.5616549247998</v>
      </c>
      <c r="K95" s="8">
        <f>_xlfn.XLOOKUP(Table2[[#This Row],[Unit ]],'Launches Residences'!$F$15:$F$71,'Launches Residences'!$J$15:$J$71)</f>
        <v>11450</v>
      </c>
      <c r="L95" s="8">
        <f t="shared" si="13"/>
        <v>30967230.948888958</v>
      </c>
      <c r="M95" s="3">
        <f>Table2[[#This Row],[Price/Sq.ft]]</f>
        <v>11450</v>
      </c>
      <c r="N95" s="8" t="e">
        <f>VLOOKUP(Table2[[#This Row],[Unit ]],'[1]Muraba Unit Wise Details '!$C$4:$L$67,10,FALSE)</f>
        <v>#N/A</v>
      </c>
      <c r="O95" s="8" t="e">
        <f>Table2[[#This Row],[Column2]]-Table2[[#This Row],[Price]]</f>
        <v>#N/A</v>
      </c>
      <c r="P95" s="8">
        <f>Table2[[#This Row],[Price]]/Table2[[#This Row],[Total Area
(Sq.ft)]]</f>
        <v>8068.401435903188</v>
      </c>
      <c r="Q95" s="162">
        <f>Table2[[#This Row],[Price]]/Table2[[#This Row],[Sellable Area
(Sq. ft)]]</f>
        <v>11450</v>
      </c>
      <c r="R95" s="209"/>
      <c r="S95" s="183"/>
      <c r="T95" s="183"/>
      <c r="U95" s="160"/>
      <c r="AE95" s="183"/>
      <c r="AF95" s="12"/>
      <c r="AG95" s="11"/>
      <c r="AH95" s="9"/>
    </row>
    <row r="96" spans="1:40" x14ac:dyDescent="0.35">
      <c r="A96" s="157" t="str">
        <f>IF(Table2[[#This Row],[Unit ]]="","","2 Bedroom")</f>
        <v>2 Bedroom</v>
      </c>
      <c r="B96" s="158" t="s">
        <v>21</v>
      </c>
      <c r="C96" s="159">
        <f>'Launches Residences'!E61</f>
        <v>5302</v>
      </c>
      <c r="D96" s="160" t="str">
        <f>LEFT(Table2[[#This Row],[Unit ]],2)</f>
        <v>53</v>
      </c>
      <c r="E96" s="161">
        <f>IF(Table2[[#This Row],[Unit ]]="","",_xlfn.XLOOKUP(Table2[[#This Row],[Type]],'Muraba Veil Sale Summary'!A:A,'Muraba Veil Sale Summary'!P:P))</f>
        <v>2</v>
      </c>
      <c r="F96" s="162">
        <f>IF(Table2[[#This Row],[Unit ]]="","",_xlfn.XLOOKUP(Table2[[#This Row],[Type]],'Muraba Veil Sale Summary'!$A:$A,'Muraba Veil Sale Summary'!F:F))</f>
        <v>2218.7648507519998</v>
      </c>
      <c r="G96" s="162">
        <f>IF(Table2[[#This Row],[Unit ]]="","",_xlfn.XLOOKUP(Table2[[#This Row],[Type]],'Muraba Veil Sale Summary'!$A:$A,'Muraba Veil Sale Summary'!G:G))</f>
        <v>1619.322680576</v>
      </c>
      <c r="H96" s="162">
        <f t="shared" si="12"/>
        <v>3838.0875313279998</v>
      </c>
      <c r="I96" s="163">
        <f>'Launches Residences'!$U$7</f>
        <v>0.3</v>
      </c>
      <c r="J96" s="162">
        <f>IF(Table2[[#This Row],[Unit ]]="","",F96+(G96*Table2[[#This Row],[Terrace Area]]))</f>
        <v>2704.5616549247998</v>
      </c>
      <c r="K96" s="8">
        <f>_xlfn.XLOOKUP(Table2[[#This Row],[Unit ]],'Launches Residences'!$E$15:$E$71,'Launches Residences'!$I$15:$I$71)</f>
        <v>11600</v>
      </c>
      <c r="L96" s="8">
        <f t="shared" si="13"/>
        <v>31372915.197127678</v>
      </c>
      <c r="M96" s="3">
        <f>Table2[[#This Row],[Price/Sq.ft]]</f>
        <v>11600</v>
      </c>
      <c r="N96" s="8" t="e">
        <f>VLOOKUP(Table2[[#This Row],[Unit ]],'[1]Muraba Unit Wise Details '!$C$4:$L$67,10,FALSE)</f>
        <v>#N/A</v>
      </c>
      <c r="O96" s="8" t="e">
        <f>Table2[[#This Row],[Column2]]-Table2[[#This Row],[Price]]</f>
        <v>#N/A</v>
      </c>
      <c r="P96" s="8">
        <f>Table2[[#This Row],[Price]]/Table2[[#This Row],[Total Area
(Sq.ft)]]</f>
        <v>8174.1010180329249</v>
      </c>
      <c r="Q96" s="162">
        <f>Table2[[#This Row],[Price]]/Table2[[#This Row],[Sellable Area
(Sq. ft)]]</f>
        <v>11600</v>
      </c>
      <c r="R96" s="209"/>
      <c r="S96" s="183"/>
      <c r="T96" s="183"/>
      <c r="U96" s="160"/>
      <c r="AE96" s="183"/>
      <c r="AF96" s="12"/>
      <c r="AG96" s="11"/>
      <c r="AH96" s="9"/>
    </row>
    <row r="97" spans="1:36" x14ac:dyDescent="0.35">
      <c r="A97" s="157" t="str">
        <f>IF(Table2[[#This Row],[Unit ]]="","","2 Bedroom")</f>
        <v>2 Bedroom</v>
      </c>
      <c r="B97" s="158" t="s">
        <v>21</v>
      </c>
      <c r="C97" s="159">
        <f>'Launches Residences'!F61</f>
        <v>5303</v>
      </c>
      <c r="D97" s="160" t="str">
        <f>LEFT(Table2[[#This Row],[Unit ]],2)</f>
        <v>53</v>
      </c>
      <c r="E97" s="161">
        <f>IF(Table2[[#This Row],[Unit ]]="","",_xlfn.XLOOKUP(Table2[[#This Row],[Type]],'Muraba Veil Sale Summary'!A:A,'Muraba Veil Sale Summary'!P:P))</f>
        <v>2</v>
      </c>
      <c r="F97" s="162">
        <f>IF(Table2[[#This Row],[Unit ]]="","",_xlfn.XLOOKUP(Table2[[#This Row],[Type]],'Muraba Veil Sale Summary'!$A:$A,'Muraba Veil Sale Summary'!F:F))</f>
        <v>2218.7648507519998</v>
      </c>
      <c r="G97" s="162">
        <f>IF(Table2[[#This Row],[Unit ]]="","",_xlfn.XLOOKUP(Table2[[#This Row],[Type]],'Muraba Veil Sale Summary'!$A:$A,'Muraba Veil Sale Summary'!G:G))</f>
        <v>1619.322680576</v>
      </c>
      <c r="H97" s="162">
        <f t="shared" si="12"/>
        <v>3838.0875313279998</v>
      </c>
      <c r="I97" s="163">
        <f>'Launches Residences'!$U$7</f>
        <v>0.3</v>
      </c>
      <c r="J97" s="162">
        <f>IF(Table2[[#This Row],[Unit ]]="","",F97+(G97*Table2[[#This Row],[Terrace Area]]))</f>
        <v>2704.5616549247998</v>
      </c>
      <c r="K97" s="8">
        <f>_xlfn.XLOOKUP(Table2[[#This Row],[Unit ]],'Launches Residences'!$F$15:$F$71,'Launches Residences'!$J$15:$J$71)</f>
        <v>11600</v>
      </c>
      <c r="L97" s="8">
        <f t="shared" si="13"/>
        <v>31372915.197127678</v>
      </c>
      <c r="M97" s="3">
        <f>Table2[[#This Row],[Price/Sq.ft]]</f>
        <v>11600</v>
      </c>
      <c r="N97" s="8" t="e">
        <f>VLOOKUP(Table2[[#This Row],[Unit ]],'[1]Muraba Unit Wise Details '!$C$4:$L$67,10,FALSE)</f>
        <v>#N/A</v>
      </c>
      <c r="O97" s="8" t="e">
        <f>Table2[[#This Row],[Column2]]-Table2[[#This Row],[Price]]</f>
        <v>#N/A</v>
      </c>
      <c r="P97" s="8">
        <f>Table2[[#This Row],[Price]]/Table2[[#This Row],[Total Area
(Sq.ft)]]</f>
        <v>8174.1010180329249</v>
      </c>
      <c r="Q97" s="162">
        <f>Table2[[#This Row],[Price]]/Table2[[#This Row],[Sellable Area
(Sq. ft)]]</f>
        <v>11600</v>
      </c>
      <c r="R97" s="209"/>
      <c r="S97" s="183"/>
      <c r="T97" s="183"/>
      <c r="U97" s="160"/>
      <c r="AE97" s="183"/>
      <c r="AF97" s="12"/>
      <c r="AG97" s="11"/>
      <c r="AH97" s="9"/>
    </row>
    <row r="98" spans="1:36" x14ac:dyDescent="0.35">
      <c r="A98" s="157" t="str">
        <f>IF(Table2[[#This Row],[Unit ]]="","","2 Bedroom")</f>
        <v>2 Bedroom</v>
      </c>
      <c r="B98" s="158" t="s">
        <v>21</v>
      </c>
      <c r="C98" s="159">
        <f>'Launches Residences'!E62</f>
        <v>5402</v>
      </c>
      <c r="D98" s="160" t="str">
        <f>LEFT(Table2[[#This Row],[Unit ]],2)</f>
        <v>54</v>
      </c>
      <c r="E98" s="161">
        <f>IF(Table2[[#This Row],[Unit ]]="","",_xlfn.XLOOKUP(Table2[[#This Row],[Type]],'Muraba Veil Sale Summary'!A:A,'Muraba Veil Sale Summary'!P:P))</f>
        <v>2</v>
      </c>
      <c r="F98" s="162">
        <f>IF(Table2[[#This Row],[Unit ]]="","",_xlfn.XLOOKUP(Table2[[#This Row],[Type]],'Muraba Veil Sale Summary'!$A:$A,'Muraba Veil Sale Summary'!F:F))</f>
        <v>2218.7648507519998</v>
      </c>
      <c r="G98" s="162">
        <f>IF(Table2[[#This Row],[Unit ]]="","",_xlfn.XLOOKUP(Table2[[#This Row],[Type]],'Muraba Veil Sale Summary'!$A:$A,'Muraba Veil Sale Summary'!G:G))</f>
        <v>1619.322680576</v>
      </c>
      <c r="H98" s="162">
        <f t="shared" si="12"/>
        <v>3838.0875313279998</v>
      </c>
      <c r="I98" s="163">
        <f>'Launches Residences'!$U$7</f>
        <v>0.3</v>
      </c>
      <c r="J98" s="162">
        <f>IF(Table2[[#This Row],[Unit ]]="","",F98+(G98*Table2[[#This Row],[Terrace Area]]))</f>
        <v>2704.5616549247998</v>
      </c>
      <c r="K98" s="8">
        <f>_xlfn.XLOOKUP(Table2[[#This Row],[Unit ]],'Launches Residences'!$E$15:$E$71,'Launches Residences'!$I$15:$I$71)</f>
        <v>11750</v>
      </c>
      <c r="L98" s="8">
        <f t="shared" si="13"/>
        <v>31778599.445366398</v>
      </c>
      <c r="M98" s="3">
        <f>Table2[[#This Row],[Price/Sq.ft]]</f>
        <v>11750</v>
      </c>
      <c r="N98" s="8" t="e">
        <f>VLOOKUP(Table2[[#This Row],[Unit ]],'[1]Muraba Unit Wise Details '!$C$4:$L$67,10,FALSE)</f>
        <v>#N/A</v>
      </c>
      <c r="O98" s="8" t="e">
        <f>Table2[[#This Row],[Column2]]-Table2[[#This Row],[Price]]</f>
        <v>#N/A</v>
      </c>
      <c r="P98" s="8">
        <f>Table2[[#This Row],[Price]]/Table2[[#This Row],[Total Area
(Sq.ft)]]</f>
        <v>8279.80060016266</v>
      </c>
      <c r="Q98" s="162">
        <f>Table2[[#This Row],[Price]]/Table2[[#This Row],[Sellable Area
(Sq. ft)]]</f>
        <v>11750</v>
      </c>
      <c r="R98" s="209"/>
      <c r="S98" s="183"/>
      <c r="T98" s="183"/>
      <c r="U98" s="160"/>
      <c r="AE98" s="183"/>
      <c r="AF98" s="12"/>
      <c r="AG98" s="11"/>
      <c r="AH98" s="9"/>
    </row>
    <row r="99" spans="1:36" x14ac:dyDescent="0.35">
      <c r="A99" s="157" t="str">
        <f>IF(Table2[[#This Row],[Unit ]]="","","2 Bedroom")</f>
        <v>2 Bedroom</v>
      </c>
      <c r="B99" s="158" t="s">
        <v>21</v>
      </c>
      <c r="C99" s="159">
        <f>'Launches Residences'!F62</f>
        <v>5403</v>
      </c>
      <c r="D99" s="160" t="str">
        <f>LEFT(Table2[[#This Row],[Unit ]],2)</f>
        <v>54</v>
      </c>
      <c r="E99" s="161">
        <f>IF(Table2[[#This Row],[Unit ]]="","",_xlfn.XLOOKUP(Table2[[#This Row],[Type]],'Muraba Veil Sale Summary'!A:A,'Muraba Veil Sale Summary'!P:P))</f>
        <v>2</v>
      </c>
      <c r="F99" s="162">
        <f>IF(Table2[[#This Row],[Unit ]]="","",_xlfn.XLOOKUP(Table2[[#This Row],[Type]],'Muraba Veil Sale Summary'!$A:$A,'Muraba Veil Sale Summary'!F:F))</f>
        <v>2218.7648507519998</v>
      </c>
      <c r="G99" s="162">
        <f>IF(Table2[[#This Row],[Unit ]]="","",_xlfn.XLOOKUP(Table2[[#This Row],[Type]],'Muraba Veil Sale Summary'!$A:$A,'Muraba Veil Sale Summary'!G:G))</f>
        <v>1619.322680576</v>
      </c>
      <c r="H99" s="162">
        <f t="shared" si="12"/>
        <v>3838.0875313279998</v>
      </c>
      <c r="I99" s="163">
        <f>'Launches Residences'!$U$7</f>
        <v>0.3</v>
      </c>
      <c r="J99" s="162">
        <f>IF(Table2[[#This Row],[Unit ]]="","",F99+(G99*Table2[[#This Row],[Terrace Area]]))</f>
        <v>2704.5616549247998</v>
      </c>
      <c r="K99" s="8">
        <f>_xlfn.XLOOKUP(Table2[[#This Row],[Unit ]],'Launches Residences'!$F$15:$F$71,'Launches Residences'!$J$15:$J$71)</f>
        <v>11750</v>
      </c>
      <c r="L99" s="8">
        <f t="shared" si="13"/>
        <v>31778599.445366398</v>
      </c>
      <c r="M99" s="3">
        <f>Table2[[#This Row],[Price/Sq.ft]]</f>
        <v>11750</v>
      </c>
      <c r="N99" s="8" t="e">
        <f>VLOOKUP(Table2[[#This Row],[Unit ]],'[1]Muraba Unit Wise Details '!$C$4:$L$67,10,FALSE)</f>
        <v>#N/A</v>
      </c>
      <c r="O99" s="8" t="e">
        <f>Table2[[#This Row],[Column2]]-Table2[[#This Row],[Price]]</f>
        <v>#N/A</v>
      </c>
      <c r="P99" s="8">
        <f>Table2[[#This Row],[Price]]/Table2[[#This Row],[Total Area
(Sq.ft)]]</f>
        <v>8279.80060016266</v>
      </c>
      <c r="Q99" s="162">
        <f>Table2[[#This Row],[Price]]/Table2[[#This Row],[Sellable Area
(Sq. ft)]]</f>
        <v>11750</v>
      </c>
      <c r="R99" s="209"/>
      <c r="S99" s="183"/>
      <c r="T99" s="183"/>
      <c r="U99" s="160"/>
      <c r="AE99" s="183"/>
      <c r="AF99" s="12"/>
      <c r="AG99" s="11"/>
      <c r="AH99" s="9"/>
    </row>
    <row r="100" spans="1:36" x14ac:dyDescent="0.35">
      <c r="A100" s="157" t="str">
        <f>IF(Table2[[#This Row],[Unit ]]="","","2 Bedroom")</f>
        <v>2 Bedroom</v>
      </c>
      <c r="B100" s="158" t="s">
        <v>21</v>
      </c>
      <c r="C100" s="159">
        <f>'Launches Residences'!E63</f>
        <v>5502</v>
      </c>
      <c r="D100" s="160" t="str">
        <f>LEFT(Table2[[#This Row],[Unit ]],2)</f>
        <v>55</v>
      </c>
      <c r="E100" s="161">
        <f>IF(Table2[[#This Row],[Unit ]]="","",_xlfn.XLOOKUP(Table2[[#This Row],[Type]],'Muraba Veil Sale Summary'!A:A,'Muraba Veil Sale Summary'!P:P))</f>
        <v>2</v>
      </c>
      <c r="F100" s="162">
        <f>IF(Table2[[#This Row],[Unit ]]="","",_xlfn.XLOOKUP(Table2[[#This Row],[Type]],'Muraba Veil Sale Summary'!$A:$A,'Muraba Veil Sale Summary'!F:F))</f>
        <v>2218.7648507519998</v>
      </c>
      <c r="G100" s="162">
        <f>IF(Table2[[#This Row],[Unit ]]="","",_xlfn.XLOOKUP(Table2[[#This Row],[Type]],'Muraba Veil Sale Summary'!$A:$A,'Muraba Veil Sale Summary'!G:G))</f>
        <v>1619.322680576</v>
      </c>
      <c r="H100" s="162">
        <f t="shared" si="12"/>
        <v>3838.0875313279998</v>
      </c>
      <c r="I100" s="163">
        <f>'Launches Residences'!$U$7</f>
        <v>0.3</v>
      </c>
      <c r="J100" s="162">
        <f>IF(Table2[[#This Row],[Unit ]]="","",F100+(G100*Table2[[#This Row],[Terrace Area]]))</f>
        <v>2704.5616549247998</v>
      </c>
      <c r="K100" s="8">
        <f>_xlfn.XLOOKUP(Table2[[#This Row],[Unit ]],'Launches Residences'!$E$15:$E$71,'Launches Residences'!$I$15:$I$71)</f>
        <v>11900</v>
      </c>
      <c r="L100" s="8">
        <f t="shared" si="13"/>
        <v>32184283.693605117</v>
      </c>
      <c r="M100" s="3">
        <f>Table2[[#This Row],[Price/Sq.ft]]</f>
        <v>11900</v>
      </c>
      <c r="N100" s="8" t="e">
        <f>VLOOKUP(Table2[[#This Row],[Unit ]],'[1]Muraba Unit Wise Details '!$C$4:$L$67,10,FALSE)</f>
        <v>#N/A</v>
      </c>
      <c r="O100" s="8" t="e">
        <f>Table2[[#This Row],[Column2]]-Table2[[#This Row],[Price]]</f>
        <v>#N/A</v>
      </c>
      <c r="P100" s="8">
        <f>Table2[[#This Row],[Price]]/Table2[[#This Row],[Total Area
(Sq.ft)]]</f>
        <v>8385.5001822923969</v>
      </c>
      <c r="Q100" s="162">
        <f>Table2[[#This Row],[Price]]/Table2[[#This Row],[Sellable Area
(Sq. ft)]]</f>
        <v>11900</v>
      </c>
      <c r="R100" s="209"/>
      <c r="S100" s="183"/>
      <c r="T100" s="183"/>
      <c r="U100" s="160"/>
      <c r="AE100" s="183"/>
      <c r="AF100" s="12"/>
      <c r="AG100" s="11"/>
      <c r="AH100" s="9"/>
    </row>
    <row r="101" spans="1:36" x14ac:dyDescent="0.35">
      <c r="A101" s="157" t="str">
        <f>IF(Table2[[#This Row],[Unit ]]="","","2 Bedroom")</f>
        <v>2 Bedroom</v>
      </c>
      <c r="B101" s="158" t="s">
        <v>21</v>
      </c>
      <c r="C101" s="159">
        <f>'Launches Residences'!F63</f>
        <v>5503</v>
      </c>
      <c r="D101" s="160" t="str">
        <f>LEFT(Table2[[#This Row],[Unit ]],2)</f>
        <v>55</v>
      </c>
      <c r="E101" s="161">
        <f>IF(Table2[[#This Row],[Unit ]]="","",_xlfn.XLOOKUP(Table2[[#This Row],[Type]],'Muraba Veil Sale Summary'!A:A,'Muraba Veil Sale Summary'!P:P))</f>
        <v>2</v>
      </c>
      <c r="F101" s="162">
        <f>IF(Table2[[#This Row],[Unit ]]="","",_xlfn.XLOOKUP(Table2[[#This Row],[Type]],'Muraba Veil Sale Summary'!$A:$A,'Muraba Veil Sale Summary'!F:F))</f>
        <v>2218.7648507519998</v>
      </c>
      <c r="G101" s="162">
        <f>IF(Table2[[#This Row],[Unit ]]="","",_xlfn.XLOOKUP(Table2[[#This Row],[Type]],'Muraba Veil Sale Summary'!$A:$A,'Muraba Veil Sale Summary'!G:G))</f>
        <v>1619.322680576</v>
      </c>
      <c r="H101" s="162">
        <f t="shared" si="12"/>
        <v>3838.0875313279998</v>
      </c>
      <c r="I101" s="163">
        <f>'Launches Residences'!$U$7</f>
        <v>0.3</v>
      </c>
      <c r="J101" s="162">
        <f>IF(Table2[[#This Row],[Unit ]]="","",F101+(G101*Table2[[#This Row],[Terrace Area]]))</f>
        <v>2704.5616549247998</v>
      </c>
      <c r="K101" s="8">
        <f>_xlfn.XLOOKUP(Table2[[#This Row],[Unit ]],'Launches Residences'!$F$15:$F$71,'Launches Residences'!$J$15:$J$71)</f>
        <v>11900</v>
      </c>
      <c r="L101" s="8">
        <f t="shared" si="13"/>
        <v>32184283.693605117</v>
      </c>
      <c r="M101" s="3">
        <f>Table2[[#This Row],[Price/Sq.ft]]</f>
        <v>11900</v>
      </c>
      <c r="N101" s="8" t="e">
        <f>VLOOKUP(Table2[[#This Row],[Unit ]],'[1]Muraba Unit Wise Details '!$C$4:$L$67,10,FALSE)</f>
        <v>#N/A</v>
      </c>
      <c r="O101" s="8" t="e">
        <f>Table2[[#This Row],[Column2]]-Table2[[#This Row],[Price]]</f>
        <v>#N/A</v>
      </c>
      <c r="P101" s="8">
        <f>Table2[[#This Row],[Price]]/Table2[[#This Row],[Total Area
(Sq.ft)]]</f>
        <v>8385.5001822923969</v>
      </c>
      <c r="Q101" s="162">
        <f>Table2[[#This Row],[Price]]/Table2[[#This Row],[Sellable Area
(Sq. ft)]]</f>
        <v>11900</v>
      </c>
      <c r="R101" s="209"/>
      <c r="S101" s="183"/>
      <c r="T101" s="183"/>
      <c r="U101" s="160"/>
      <c r="AE101" s="183"/>
      <c r="AF101" s="12"/>
      <c r="AG101" s="11"/>
      <c r="AH101" s="9"/>
    </row>
    <row r="102" spans="1:36" x14ac:dyDescent="0.35">
      <c r="A102" s="157" t="str">
        <f>IF(Table2[[#This Row],[Unit ]]="","","2 Bedroom")</f>
        <v>2 Bedroom</v>
      </c>
      <c r="B102" s="158" t="s">
        <v>21</v>
      </c>
      <c r="C102" s="159">
        <f>'Launches Residences'!E64</f>
        <v>5602</v>
      </c>
      <c r="D102" s="160" t="str">
        <f>LEFT(Table2[[#This Row],[Unit ]],2)</f>
        <v>56</v>
      </c>
      <c r="E102" s="161">
        <f>IF(Table2[[#This Row],[Unit ]]="","",_xlfn.XLOOKUP(Table2[[#This Row],[Type]],'Muraba Veil Sale Summary'!A:A,'Muraba Veil Sale Summary'!P:P))</f>
        <v>2</v>
      </c>
      <c r="F102" s="162">
        <f>IF(Table2[[#This Row],[Unit ]]="","",_xlfn.XLOOKUP(Table2[[#This Row],[Type]],'Muraba Veil Sale Summary'!$A:$A,'Muraba Veil Sale Summary'!F:F))</f>
        <v>2218.7648507519998</v>
      </c>
      <c r="G102" s="162">
        <f>IF(Table2[[#This Row],[Unit ]]="","",_xlfn.XLOOKUP(Table2[[#This Row],[Type]],'Muraba Veil Sale Summary'!$A:$A,'Muraba Veil Sale Summary'!G:G))</f>
        <v>1619.322680576</v>
      </c>
      <c r="H102" s="162">
        <f t="shared" si="12"/>
        <v>3838.0875313279998</v>
      </c>
      <c r="I102" s="163">
        <f>'Launches Residences'!$U$7</f>
        <v>0.3</v>
      </c>
      <c r="J102" s="162">
        <f>IF(Table2[[#This Row],[Unit ]]="","",F102+(G102*Table2[[#This Row],[Terrace Area]]))</f>
        <v>2704.5616549247998</v>
      </c>
      <c r="K102" s="8">
        <f>_xlfn.XLOOKUP(Table2[[#This Row],[Unit ]],'Launches Residences'!$E$15:$E$71,'Launches Residences'!$I$15:$I$71)</f>
        <v>12050</v>
      </c>
      <c r="L102" s="8">
        <f t="shared" si="13"/>
        <v>32589967.941843837</v>
      </c>
      <c r="M102" s="3">
        <f>Table2[[#This Row],[Price/Sq.ft]]</f>
        <v>12050</v>
      </c>
      <c r="N102" s="8" t="e">
        <f>VLOOKUP(Table2[[#This Row],[Unit ]],'[1]Muraba Unit Wise Details '!$C$4:$L$67,10,FALSE)</f>
        <v>#N/A</v>
      </c>
      <c r="O102" s="8" t="e">
        <f>Table2[[#This Row],[Column2]]-Table2[[#This Row],[Price]]</f>
        <v>#N/A</v>
      </c>
      <c r="P102" s="8">
        <f>Table2[[#This Row],[Price]]/Table2[[#This Row],[Total Area
(Sq.ft)]]</f>
        <v>8491.1997644221319</v>
      </c>
      <c r="Q102" s="162">
        <f>Table2[[#This Row],[Price]]/Table2[[#This Row],[Sellable Area
(Sq. ft)]]</f>
        <v>12050</v>
      </c>
      <c r="R102" s="209"/>
      <c r="S102" s="183"/>
      <c r="T102" s="183"/>
      <c r="U102" s="160"/>
      <c r="AE102" s="183"/>
      <c r="AF102" s="12"/>
      <c r="AG102" s="11"/>
    </row>
    <row r="103" spans="1:36" x14ac:dyDescent="0.35">
      <c r="A103" s="157" t="str">
        <f>IF(Table2[[#This Row],[Unit ]]="","","2 Bedroom")</f>
        <v>2 Bedroom</v>
      </c>
      <c r="B103" s="158" t="s">
        <v>21</v>
      </c>
      <c r="C103" s="159">
        <f>'Launches Residences'!F64</f>
        <v>5603</v>
      </c>
      <c r="D103" s="160" t="str">
        <f>LEFT(Table2[[#This Row],[Unit ]],2)</f>
        <v>56</v>
      </c>
      <c r="E103" s="161">
        <f>IF(Table2[[#This Row],[Unit ]]="","",_xlfn.XLOOKUP(Table2[[#This Row],[Type]],'Muraba Veil Sale Summary'!A:A,'Muraba Veil Sale Summary'!P:P))</f>
        <v>2</v>
      </c>
      <c r="F103" s="162">
        <f>IF(Table2[[#This Row],[Unit ]]="","",_xlfn.XLOOKUP(Table2[[#This Row],[Type]],'Muraba Veil Sale Summary'!$A:$A,'Muraba Veil Sale Summary'!F:F))</f>
        <v>2218.7648507519998</v>
      </c>
      <c r="G103" s="162">
        <f>IF(Table2[[#This Row],[Unit ]]="","",_xlfn.XLOOKUP(Table2[[#This Row],[Type]],'Muraba Veil Sale Summary'!$A:$A,'Muraba Veil Sale Summary'!G:G))</f>
        <v>1619.322680576</v>
      </c>
      <c r="H103" s="162">
        <f t="shared" si="12"/>
        <v>3838.0875313279998</v>
      </c>
      <c r="I103" s="163">
        <f>'Launches Residences'!$U$7</f>
        <v>0.3</v>
      </c>
      <c r="J103" s="162">
        <f>IF(Table2[[#This Row],[Unit ]]="","",F103+(G103*Table2[[#This Row],[Terrace Area]]))</f>
        <v>2704.5616549247998</v>
      </c>
      <c r="K103" s="8">
        <f>_xlfn.XLOOKUP(Table2[[#This Row],[Unit ]],'Launches Residences'!$F$15:$F$71,'Launches Residences'!$J$15:$J$71)</f>
        <v>12050</v>
      </c>
      <c r="L103" s="8">
        <f t="shared" si="13"/>
        <v>32589967.941843837</v>
      </c>
      <c r="M103" s="3">
        <f>Table2[[#This Row],[Price/Sq.ft]]</f>
        <v>12050</v>
      </c>
      <c r="N103" s="8" t="e">
        <f>VLOOKUP(Table2[[#This Row],[Unit ]],'[1]Muraba Unit Wise Details '!$C$4:$L$67,10,FALSE)</f>
        <v>#N/A</v>
      </c>
      <c r="O103" s="8" t="e">
        <f>Table2[[#This Row],[Column2]]-Table2[[#This Row],[Price]]</f>
        <v>#N/A</v>
      </c>
      <c r="P103" s="8">
        <f>Table2[[#This Row],[Price]]/Table2[[#This Row],[Total Area
(Sq.ft)]]</f>
        <v>8491.1997644221319</v>
      </c>
      <c r="Q103" s="162">
        <f>Table2[[#This Row],[Price]]/Table2[[#This Row],[Sellable Area
(Sq. ft)]]</f>
        <v>12050</v>
      </c>
      <c r="R103" s="209"/>
      <c r="S103" s="183"/>
      <c r="T103" s="183"/>
      <c r="U103" s="160"/>
      <c r="W103" s="183"/>
      <c r="Y103" s="183"/>
      <c r="AE103" s="183"/>
      <c r="AF103" s="12"/>
      <c r="AG103" s="11"/>
      <c r="AH103" s="9"/>
      <c r="AJ103" s="9"/>
    </row>
    <row r="104" spans="1:36" x14ac:dyDescent="0.35">
      <c r="A104" s="157" t="str">
        <f>IF(Table2[[#This Row],[Unit ]]="","","2 Bedroom")</f>
        <v>2 Bedroom</v>
      </c>
      <c r="B104" s="158" t="s">
        <v>21</v>
      </c>
      <c r="C104" s="159">
        <f>'Launches Residences'!E65</f>
        <v>5702</v>
      </c>
      <c r="D104" s="160" t="str">
        <f>LEFT(Table2[[#This Row],[Unit ]],2)</f>
        <v>57</v>
      </c>
      <c r="E104" s="161">
        <f>IF(Table2[[#This Row],[Unit ]]="","",_xlfn.XLOOKUP(Table2[[#This Row],[Type]],'Muraba Veil Sale Summary'!A:A,'Muraba Veil Sale Summary'!P:P))</f>
        <v>2</v>
      </c>
      <c r="F104" s="162">
        <f>IF(Table2[[#This Row],[Unit ]]="","",_xlfn.XLOOKUP(Table2[[#This Row],[Type]],'Muraba Veil Sale Summary'!$A:$A,'Muraba Veil Sale Summary'!F:F))</f>
        <v>2218.7648507519998</v>
      </c>
      <c r="G104" s="162">
        <f>IF(Table2[[#This Row],[Unit ]]="","",_xlfn.XLOOKUP(Table2[[#This Row],[Type]],'Muraba Veil Sale Summary'!$A:$A,'Muraba Veil Sale Summary'!G:G))</f>
        <v>1619.322680576</v>
      </c>
      <c r="H104" s="162">
        <f t="shared" si="12"/>
        <v>3838.0875313279998</v>
      </c>
      <c r="I104" s="163">
        <f>'Launches Residences'!$U$7</f>
        <v>0.3</v>
      </c>
      <c r="J104" s="162">
        <f>IF(Table2[[#This Row],[Unit ]]="","",F104+(G104*Table2[[#This Row],[Terrace Area]]))</f>
        <v>2704.5616549247998</v>
      </c>
      <c r="K104" s="8">
        <f>_xlfn.XLOOKUP(Table2[[#This Row],[Unit ]],'Launches Residences'!$E$15:$E$71,'Launches Residences'!$I$15:$I$71)</f>
        <v>12200</v>
      </c>
      <c r="L104" s="8">
        <f t="shared" si="13"/>
        <v>32995652.190082557</v>
      </c>
      <c r="M104" s="3">
        <f>Table2[[#This Row],[Price/Sq.ft]]</f>
        <v>12200</v>
      </c>
      <c r="N104" s="8" t="e">
        <f>VLOOKUP(Table2[[#This Row],[Unit ]],'[1]Muraba Unit Wise Details '!$C$4:$L$67,10,FALSE)</f>
        <v>#N/A</v>
      </c>
      <c r="O104" s="8" t="e">
        <f>Table2[[#This Row],[Column2]]-Table2[[#This Row],[Price]]</f>
        <v>#N/A</v>
      </c>
      <c r="P104" s="8">
        <f>Table2[[#This Row],[Price]]/Table2[[#This Row],[Total Area
(Sq.ft)]]</f>
        <v>8596.8993465518688</v>
      </c>
      <c r="Q104" s="162">
        <f>Table2[[#This Row],[Price]]/Table2[[#This Row],[Sellable Area
(Sq. ft)]]</f>
        <v>12200</v>
      </c>
      <c r="R104" s="209"/>
      <c r="S104" s="183"/>
      <c r="T104" s="183"/>
      <c r="U104" s="160"/>
      <c r="W104" s="183"/>
      <c r="Y104" s="183"/>
      <c r="AE104" s="183"/>
      <c r="AF104" s="12"/>
      <c r="AG104" s="11"/>
      <c r="AH104" s="9"/>
    </row>
    <row r="105" spans="1:36" x14ac:dyDescent="0.35">
      <c r="A105" s="157" t="str">
        <f>IF(Table2[[#This Row],[Unit ]]="","","2 Bedroom")</f>
        <v>2 Bedroom</v>
      </c>
      <c r="B105" s="158" t="s">
        <v>21</v>
      </c>
      <c r="C105" s="159">
        <f>'Launches Residences'!F65</f>
        <v>5703</v>
      </c>
      <c r="D105" s="160" t="str">
        <f>LEFT(Table2[[#This Row],[Unit ]],2)</f>
        <v>57</v>
      </c>
      <c r="E105" s="161">
        <f>IF(Table2[[#This Row],[Unit ]]="","",_xlfn.XLOOKUP(Table2[[#This Row],[Type]],'Muraba Veil Sale Summary'!A:A,'Muraba Veil Sale Summary'!P:P))</f>
        <v>2</v>
      </c>
      <c r="F105" s="162">
        <f>IF(Table2[[#This Row],[Unit ]]="","",_xlfn.XLOOKUP(Table2[[#This Row],[Type]],'Muraba Veil Sale Summary'!$A:$A,'Muraba Veil Sale Summary'!F:F))</f>
        <v>2218.7648507519998</v>
      </c>
      <c r="G105" s="162">
        <f>IF(Table2[[#This Row],[Unit ]]="","",_xlfn.XLOOKUP(Table2[[#This Row],[Type]],'Muraba Veil Sale Summary'!$A:$A,'Muraba Veil Sale Summary'!G:G))</f>
        <v>1619.322680576</v>
      </c>
      <c r="H105" s="162">
        <f t="shared" si="12"/>
        <v>3838.0875313279998</v>
      </c>
      <c r="I105" s="163">
        <f>'Launches Residences'!$U$7</f>
        <v>0.3</v>
      </c>
      <c r="J105" s="162">
        <f>IF(Table2[[#This Row],[Unit ]]="","",F105+(G105*Table2[[#This Row],[Terrace Area]]))</f>
        <v>2704.5616549247998</v>
      </c>
      <c r="K105" s="8">
        <f>_xlfn.XLOOKUP(Table2[[#This Row],[Unit ]],'Launches Residences'!$F$15:$F$71,'Launches Residences'!$J$15:$J$71)</f>
        <v>12200</v>
      </c>
      <c r="L105" s="8">
        <f t="shared" si="13"/>
        <v>32995652.190082557</v>
      </c>
      <c r="M105" s="3">
        <f>Table2[[#This Row],[Price/Sq.ft]]</f>
        <v>12200</v>
      </c>
      <c r="N105" s="8" t="e">
        <f>VLOOKUP(Table2[[#This Row],[Unit ]],'[1]Muraba Unit Wise Details '!$C$4:$L$67,10,FALSE)</f>
        <v>#N/A</v>
      </c>
      <c r="O105" s="8" t="e">
        <f>Table2[[#This Row],[Column2]]-Table2[[#This Row],[Price]]</f>
        <v>#N/A</v>
      </c>
      <c r="P105" s="8">
        <f>Table2[[#This Row],[Price]]/Table2[[#This Row],[Total Area
(Sq.ft)]]</f>
        <v>8596.8993465518688</v>
      </c>
      <c r="Q105" s="162">
        <f>Table2[[#This Row],[Price]]/Table2[[#This Row],[Sellable Area
(Sq. ft)]]</f>
        <v>12200</v>
      </c>
      <c r="R105" s="209"/>
      <c r="S105" s="183"/>
      <c r="T105" s="183"/>
      <c r="U105" s="160"/>
      <c r="W105" s="183"/>
      <c r="Y105" s="183"/>
      <c r="AE105" s="183"/>
      <c r="AF105" s="12"/>
      <c r="AG105" s="11"/>
      <c r="AH105" s="9"/>
    </row>
    <row r="106" spans="1:36" x14ac:dyDescent="0.35">
      <c r="A106" s="157" t="str">
        <f>IF(Table2[[#This Row],[Unit ]]="","","2 Bedroom")</f>
        <v>2 Bedroom</v>
      </c>
      <c r="B106" s="158" t="s">
        <v>21</v>
      </c>
      <c r="C106" s="159">
        <f>'Launches Residences'!E66</f>
        <v>5902</v>
      </c>
      <c r="D106" s="160" t="str">
        <f>LEFT(Table2[[#This Row],[Unit ]],2)</f>
        <v>59</v>
      </c>
      <c r="E106" s="161">
        <f>IF(Table2[[#This Row],[Unit ]]="","",_xlfn.XLOOKUP(Table2[[#This Row],[Type]],'Muraba Veil Sale Summary'!A:A,'Muraba Veil Sale Summary'!P:P))</f>
        <v>2</v>
      </c>
      <c r="F106" s="162">
        <f>IF(Table2[[#This Row],[Unit ]]="","",_xlfn.XLOOKUP(Table2[[#This Row],[Type]],'Muraba Veil Sale Summary'!$A:$A,'Muraba Veil Sale Summary'!F:F))</f>
        <v>2218.7648507519998</v>
      </c>
      <c r="G106" s="162">
        <f>IF(Table2[[#This Row],[Unit ]]="","",_xlfn.XLOOKUP(Table2[[#This Row],[Type]],'Muraba Veil Sale Summary'!$A:$A,'Muraba Veil Sale Summary'!G:G))</f>
        <v>1619.322680576</v>
      </c>
      <c r="H106" s="162">
        <f t="shared" si="12"/>
        <v>3838.0875313279998</v>
      </c>
      <c r="I106" s="163">
        <f>'Launches Residences'!$U$7</f>
        <v>0.3</v>
      </c>
      <c r="J106" s="162">
        <f>IF(Table2[[#This Row],[Unit ]]="","",F106+(G106*Table2[[#This Row],[Terrace Area]]))</f>
        <v>2704.5616549247998</v>
      </c>
      <c r="K106" s="8">
        <f>_xlfn.XLOOKUP(Table2[[#This Row],[Unit ]],'Launches Residences'!$E$15:$E$71,'Launches Residences'!$I$15:$I$71)</f>
        <v>12350</v>
      </c>
      <c r="L106" s="8">
        <f t="shared" si="13"/>
        <v>33401336.438321277</v>
      </c>
      <c r="M106" s="3">
        <f>Table2[[#This Row],[Price/Sq.ft]]</f>
        <v>12350</v>
      </c>
      <c r="N106" s="8" t="e">
        <f>VLOOKUP(Table2[[#This Row],[Unit ]],'[1]Muraba Unit Wise Details '!$C$4:$L$67,10,FALSE)</f>
        <v>#N/A</v>
      </c>
      <c r="O106" s="8" t="e">
        <f>Table2[[#This Row],[Column2]]-Table2[[#This Row],[Price]]</f>
        <v>#N/A</v>
      </c>
      <c r="P106" s="8">
        <f>Table2[[#This Row],[Price]]/Table2[[#This Row],[Total Area
(Sq.ft)]]</f>
        <v>8702.5989286816057</v>
      </c>
      <c r="Q106" s="162">
        <f>Table2[[#This Row],[Price]]/Table2[[#This Row],[Sellable Area
(Sq. ft)]]</f>
        <v>12350</v>
      </c>
      <c r="R106" s="209"/>
      <c r="S106" s="183"/>
      <c r="T106" s="183"/>
      <c r="U106" s="160"/>
      <c r="W106" s="183"/>
      <c r="Y106" s="183"/>
      <c r="AE106" s="183"/>
      <c r="AF106" s="12"/>
      <c r="AG106" s="11"/>
      <c r="AH106" s="9"/>
    </row>
    <row r="107" spans="1:36" x14ac:dyDescent="0.35">
      <c r="A107" s="157" t="str">
        <f>IF(Table2[[#This Row],[Unit ]]="","","2 Bedroom")</f>
        <v>2 Bedroom</v>
      </c>
      <c r="B107" s="158" t="s">
        <v>21</v>
      </c>
      <c r="C107" s="159">
        <f>'Launches Residences'!F66</f>
        <v>5903</v>
      </c>
      <c r="D107" s="160" t="str">
        <f>LEFT(Table2[[#This Row],[Unit ]],2)</f>
        <v>59</v>
      </c>
      <c r="E107" s="161">
        <f>IF(Table2[[#This Row],[Unit ]]="","",_xlfn.XLOOKUP(Table2[[#This Row],[Type]],'Muraba Veil Sale Summary'!A:A,'Muraba Veil Sale Summary'!P:P))</f>
        <v>2</v>
      </c>
      <c r="F107" s="162">
        <f>IF(Table2[[#This Row],[Unit ]]="","",_xlfn.XLOOKUP(Table2[[#This Row],[Type]],'Muraba Veil Sale Summary'!$A:$A,'Muraba Veil Sale Summary'!F:F))</f>
        <v>2218.7648507519998</v>
      </c>
      <c r="G107" s="162">
        <f>IF(Table2[[#This Row],[Unit ]]="","",_xlfn.XLOOKUP(Table2[[#This Row],[Type]],'Muraba Veil Sale Summary'!$A:$A,'Muraba Veil Sale Summary'!G:G))</f>
        <v>1619.322680576</v>
      </c>
      <c r="H107" s="162">
        <f t="shared" si="12"/>
        <v>3838.0875313279998</v>
      </c>
      <c r="I107" s="163">
        <f>'Launches Residences'!$U$7</f>
        <v>0.3</v>
      </c>
      <c r="J107" s="162">
        <f>IF(Table2[[#This Row],[Unit ]]="","",F107+(G107*Table2[[#This Row],[Terrace Area]]))</f>
        <v>2704.5616549247998</v>
      </c>
      <c r="K107" s="8">
        <f>_xlfn.XLOOKUP(Table2[[#This Row],[Unit ]],'Launches Residences'!$F$15:$F$71,'Launches Residences'!$J$15:$J$71)</f>
        <v>12350</v>
      </c>
      <c r="L107" s="8">
        <f t="shared" si="13"/>
        <v>33401336.438321277</v>
      </c>
      <c r="M107" s="3">
        <f>Table2[[#This Row],[Price/Sq.ft]]</f>
        <v>12350</v>
      </c>
      <c r="N107" s="8" t="e">
        <f>VLOOKUP(Table2[[#This Row],[Unit ]],'[1]Muraba Unit Wise Details '!$C$4:$L$67,10,FALSE)</f>
        <v>#N/A</v>
      </c>
      <c r="O107" s="8" t="e">
        <f>Table2[[#This Row],[Column2]]-Table2[[#This Row],[Price]]</f>
        <v>#N/A</v>
      </c>
      <c r="P107" s="8">
        <f>Table2[[#This Row],[Price]]/Table2[[#This Row],[Total Area
(Sq.ft)]]</f>
        <v>8702.5989286816057</v>
      </c>
      <c r="Q107" s="162">
        <f>Table2[[#This Row],[Price]]/Table2[[#This Row],[Sellable Area
(Sq. ft)]]</f>
        <v>12350</v>
      </c>
      <c r="R107" s="209"/>
      <c r="S107" s="183"/>
      <c r="T107" s="183"/>
      <c r="U107" s="160"/>
      <c r="W107" s="183"/>
      <c r="Y107" s="183"/>
      <c r="AE107" s="183"/>
      <c r="AF107" s="12"/>
      <c r="AG107" s="11"/>
      <c r="AH107" s="9"/>
    </row>
    <row r="108" spans="1:36" x14ac:dyDescent="0.35">
      <c r="A108" s="157" t="str">
        <f>IF(Table2[[#This Row],[Unit ]]="","","2 Bedroom")</f>
        <v/>
      </c>
      <c r="B108" s="158" t="s">
        <v>21</v>
      </c>
      <c r="C108" s="159" t="str">
        <f>'Launches Residences'!E67</f>
        <v/>
      </c>
      <c r="D108" s="160" t="str">
        <f>LEFT(Table2[[#This Row],[Unit ]],2)</f>
        <v/>
      </c>
      <c r="E108" s="161" t="str">
        <f>IF(Table2[[#This Row],[Unit ]]="","",_xlfn.XLOOKUP(Table2[[#This Row],[Type]],'Muraba Veil Sale Summary'!A:A,'Muraba Veil Sale Summary'!P:P))</f>
        <v/>
      </c>
      <c r="F108" s="162" t="str">
        <f>IF(Table2[[#This Row],[Unit ]]="","",_xlfn.XLOOKUP(Table2[[#This Row],[Type]],'Muraba Veil Sale Summary'!$A:$A,'Muraba Veil Sale Summary'!F:F))</f>
        <v/>
      </c>
      <c r="G108" s="162" t="str">
        <f>IF(Table2[[#This Row],[Unit ]]="","",_xlfn.XLOOKUP(Table2[[#This Row],[Type]],'Muraba Veil Sale Summary'!$A:$A,'Muraba Veil Sale Summary'!G:G))</f>
        <v/>
      </c>
      <c r="H108" s="162">
        <f t="shared" si="12"/>
        <v>0</v>
      </c>
      <c r="I108" s="163">
        <f>'Launches Residences'!$U$7</f>
        <v>0.3</v>
      </c>
      <c r="J108" s="162" t="str">
        <f>IF(Table2[[#This Row],[Unit ]]="","",F108+(G108*Table2[[#This Row],[Terrace Area]]))</f>
        <v/>
      </c>
      <c r="K108" s="8" t="str" cm="1">
        <f t="array" ref="K108">IFERROR(_xlfn.XLOOKUP(Table2[[#This Row],[Unit ]],_xlfn.VSTACK('Launches Residences'!$E$15:$E$82,'Launches Residences'!$F$15:$F$82),_xlfn.VSTACK('Launches Residences'!$I$15:$I$82,'Launches Residences'!$I$15:$I$82)),0)</f>
        <v/>
      </c>
      <c r="L108" s="8">
        <f t="shared" si="13"/>
        <v>0</v>
      </c>
      <c r="M108" s="3" t="str">
        <f>Table2[[#This Row],[Price/Sq.ft]]</f>
        <v/>
      </c>
      <c r="N108" s="8" t="e">
        <f>VLOOKUP(Table2[[#This Row],[Unit ]],'[1]Muraba Unit Wise Details '!$C$4:$L$67,10,FALSE)</f>
        <v>#N/A</v>
      </c>
      <c r="O108" s="8" t="e">
        <f>Table2[[#This Row],[Column2]]-Table2[[#This Row],[Price]]</f>
        <v>#N/A</v>
      </c>
      <c r="P108" s="8" t="e">
        <f>Table2[[#This Row],[Price]]/Table2[[#This Row],[Total Area
(Sq.ft)]]</f>
        <v>#DIV/0!</v>
      </c>
      <c r="Q108" s="162" t="e">
        <f>Table2[[#This Row],[Price]]/Table2[[#This Row],[Sellable Area
(Sq. ft)]]</f>
        <v>#VALUE!</v>
      </c>
      <c r="R108" s="209"/>
      <c r="S108" s="183"/>
      <c r="T108" s="183"/>
      <c r="U108" s="160"/>
      <c r="W108" s="183"/>
      <c r="Y108" s="183"/>
      <c r="AE108" s="183"/>
      <c r="AF108" s="12"/>
      <c r="AG108" s="11"/>
      <c r="AH108" s="9"/>
    </row>
    <row r="109" spans="1:36" x14ac:dyDescent="0.35">
      <c r="A109" s="157" t="str">
        <f>IF(Table2[[#This Row],[Unit ]]="","","2 Bedroom")</f>
        <v/>
      </c>
      <c r="B109" s="158" t="s">
        <v>21</v>
      </c>
      <c r="C109" s="159" t="str">
        <f>'Launches Residences'!F67</f>
        <v/>
      </c>
      <c r="D109" s="160" t="str">
        <f>LEFT(Table2[[#This Row],[Unit ]],2)</f>
        <v/>
      </c>
      <c r="E109" s="161" t="str">
        <f>IF(Table2[[#This Row],[Unit ]]="","",_xlfn.XLOOKUP(Table2[[#This Row],[Type]],'Muraba Veil Sale Summary'!A:A,'Muraba Veil Sale Summary'!P:P))</f>
        <v/>
      </c>
      <c r="F109" s="162" t="str">
        <f>IF(Table2[[#This Row],[Unit ]]="","",_xlfn.XLOOKUP(Table2[[#This Row],[Type]],'Muraba Veil Sale Summary'!$A:$A,'Muraba Veil Sale Summary'!F:F))</f>
        <v/>
      </c>
      <c r="G109" s="162" t="str">
        <f>IF(Table2[[#This Row],[Unit ]]="","",_xlfn.XLOOKUP(Table2[[#This Row],[Type]],'Muraba Veil Sale Summary'!$A:$A,'Muraba Veil Sale Summary'!G:G))</f>
        <v/>
      </c>
      <c r="H109" s="162">
        <f t="shared" si="12"/>
        <v>0</v>
      </c>
      <c r="I109" s="163">
        <f>'Launches Residences'!$U$7</f>
        <v>0.3</v>
      </c>
      <c r="J109" s="162" t="str">
        <f>IF(Table2[[#This Row],[Unit ]]="","",F109+(G109*Table2[[#This Row],[Terrace Area]]))</f>
        <v/>
      </c>
      <c r="K109" s="8" t="str" cm="1">
        <f t="array" ref="K109">IFERROR(_xlfn.XLOOKUP(Table2[[#This Row],[Unit ]],_xlfn.VSTACK('Launches Residences'!$E$15:$E$82,'Launches Residences'!$F$15:$F$82),_xlfn.VSTACK('Launches Residences'!$I$15:$I$82,'Launches Residences'!$I$15:$I$82)),0)</f>
        <v/>
      </c>
      <c r="L109" s="8">
        <f t="shared" si="13"/>
        <v>0</v>
      </c>
      <c r="M109" s="3" t="str">
        <f>Table2[[#This Row],[Price/Sq.ft]]</f>
        <v/>
      </c>
      <c r="N109" s="8" t="e">
        <f>VLOOKUP(Table2[[#This Row],[Unit ]],'[1]Muraba Unit Wise Details '!$C$4:$L$67,10,FALSE)</f>
        <v>#N/A</v>
      </c>
      <c r="O109" s="8" t="e">
        <f>Table2[[#This Row],[Column2]]-Table2[[#This Row],[Price]]</f>
        <v>#N/A</v>
      </c>
      <c r="P109" s="8" t="e">
        <f>Table2[[#This Row],[Price]]/Table2[[#This Row],[Total Area
(Sq.ft)]]</f>
        <v>#DIV/0!</v>
      </c>
      <c r="Q109" s="162" t="e">
        <f>Table2[[#This Row],[Price]]/Table2[[#This Row],[Sellable Area
(Sq. ft)]]</f>
        <v>#VALUE!</v>
      </c>
      <c r="R109" s="209"/>
      <c r="S109" s="183"/>
      <c r="T109" s="183"/>
      <c r="U109" s="160"/>
      <c r="W109" s="183"/>
      <c r="Y109" s="183"/>
      <c r="AE109" s="183"/>
      <c r="AF109" s="12"/>
      <c r="AG109" s="11"/>
      <c r="AH109" s="9"/>
    </row>
    <row r="110" spans="1:36" x14ac:dyDescent="0.35">
      <c r="A110" s="157" t="str">
        <f>IF(Table2[[#This Row],[Unit ]]="","","2 Bedroom")</f>
        <v/>
      </c>
      <c r="B110" s="158" t="s">
        <v>21</v>
      </c>
      <c r="C110" s="159" t="str">
        <f>'Launches Residences'!E68</f>
        <v/>
      </c>
      <c r="D110" s="160" t="str">
        <f>LEFT(Table2[[#This Row],[Unit ]],2)</f>
        <v/>
      </c>
      <c r="E110" s="161" t="str">
        <f>IF(Table2[[#This Row],[Unit ]]="","",_xlfn.XLOOKUP(Table2[[#This Row],[Type]],'Muraba Veil Sale Summary'!A:A,'Muraba Veil Sale Summary'!P:P))</f>
        <v/>
      </c>
      <c r="F110" s="162" t="str">
        <f>IF(Table2[[#This Row],[Unit ]]="","",_xlfn.XLOOKUP(Table2[[#This Row],[Type]],'Muraba Veil Sale Summary'!$A:$A,'Muraba Veil Sale Summary'!F:F))</f>
        <v/>
      </c>
      <c r="G110" s="162" t="str">
        <f>IF(Table2[[#This Row],[Unit ]]="","",_xlfn.XLOOKUP(Table2[[#This Row],[Type]],'Muraba Veil Sale Summary'!$A:$A,'Muraba Veil Sale Summary'!G:G))</f>
        <v/>
      </c>
      <c r="H110" s="162">
        <f t="shared" si="12"/>
        <v>0</v>
      </c>
      <c r="I110" s="163">
        <f>'Launches Residences'!$U$7</f>
        <v>0.3</v>
      </c>
      <c r="J110" s="162" t="str">
        <f>IF(Table2[[#This Row],[Unit ]]="","",F110+(G110*Table2[[#This Row],[Terrace Area]]))</f>
        <v/>
      </c>
      <c r="K110" s="8" t="str" cm="1">
        <f t="array" ref="K110">IFERROR(_xlfn.XLOOKUP(Table2[[#This Row],[Unit ]],_xlfn.VSTACK('Launches Residences'!$E$15:$E$82,'Launches Residences'!$F$15:$F$82),_xlfn.VSTACK('Launches Residences'!$I$15:$I$82,'Launches Residences'!$I$15:$I$82)),0)</f>
        <v/>
      </c>
      <c r="L110" s="8">
        <f t="shared" si="13"/>
        <v>0</v>
      </c>
      <c r="M110" s="3" t="str">
        <f>Table2[[#This Row],[Price/Sq.ft]]</f>
        <v/>
      </c>
      <c r="N110" s="8" t="e">
        <f>VLOOKUP(Table2[[#This Row],[Unit ]],'[1]Muraba Unit Wise Details '!$C$4:$L$67,10,FALSE)</f>
        <v>#N/A</v>
      </c>
      <c r="O110" s="8" t="e">
        <f>Table2[[#This Row],[Column2]]-Table2[[#This Row],[Price]]</f>
        <v>#N/A</v>
      </c>
      <c r="P110" s="8" t="e">
        <f>Table2[[#This Row],[Price]]/Table2[[#This Row],[Total Area
(Sq.ft)]]</f>
        <v>#DIV/0!</v>
      </c>
      <c r="Q110" s="162" t="e">
        <f>Table2[[#This Row],[Price]]/Table2[[#This Row],[Sellable Area
(Sq. ft)]]</f>
        <v>#VALUE!</v>
      </c>
      <c r="R110" s="209"/>
      <c r="S110" s="183"/>
      <c r="T110" s="183"/>
      <c r="U110" s="160"/>
      <c r="W110" s="183"/>
      <c r="Y110" s="183"/>
      <c r="AE110" s="183"/>
      <c r="AF110" s="12"/>
      <c r="AG110" s="11"/>
      <c r="AH110" s="9"/>
    </row>
    <row r="111" spans="1:36" x14ac:dyDescent="0.35">
      <c r="A111" s="157" t="str">
        <f>IF(Table2[[#This Row],[Unit ]]="","","2 Bedroom")</f>
        <v/>
      </c>
      <c r="B111" s="158" t="s">
        <v>21</v>
      </c>
      <c r="C111" s="159" t="str">
        <f>'Launches Residences'!F68</f>
        <v/>
      </c>
      <c r="D111" s="160" t="str">
        <f>LEFT(Table2[[#This Row],[Unit ]],2)</f>
        <v/>
      </c>
      <c r="E111" s="161" t="str">
        <f>IF(Table2[[#This Row],[Unit ]]="","",_xlfn.XLOOKUP(Table2[[#This Row],[Type]],'Muraba Veil Sale Summary'!A:A,'Muraba Veil Sale Summary'!P:P))</f>
        <v/>
      </c>
      <c r="F111" s="162" t="str">
        <f>IF(Table2[[#This Row],[Unit ]]="","",_xlfn.XLOOKUP(Table2[[#This Row],[Type]],'Muraba Veil Sale Summary'!$A:$A,'Muraba Veil Sale Summary'!F:F))</f>
        <v/>
      </c>
      <c r="G111" s="162" t="str">
        <f>IF(Table2[[#This Row],[Unit ]]="","",_xlfn.XLOOKUP(Table2[[#This Row],[Type]],'Muraba Veil Sale Summary'!$A:$A,'Muraba Veil Sale Summary'!G:G))</f>
        <v/>
      </c>
      <c r="H111" s="162">
        <f t="shared" si="12"/>
        <v>0</v>
      </c>
      <c r="I111" s="163">
        <f>'Launches Residences'!$U$7</f>
        <v>0.3</v>
      </c>
      <c r="J111" s="162" t="str">
        <f>IF(Table2[[#This Row],[Unit ]]="","",F111+(G111*Table2[[#This Row],[Terrace Area]]))</f>
        <v/>
      </c>
      <c r="K111" s="8" t="str" cm="1">
        <f t="array" ref="K111">IFERROR(_xlfn.XLOOKUP(Table2[[#This Row],[Unit ]],_xlfn.VSTACK('Launches Residences'!$E$15:$E$82,'Launches Residences'!$F$15:$F$82),_xlfn.VSTACK('Launches Residences'!$I$15:$I$82,'Launches Residences'!$I$15:$I$82)),0)</f>
        <v/>
      </c>
      <c r="L111" s="8">
        <f t="shared" si="13"/>
        <v>0</v>
      </c>
      <c r="M111" s="3" t="str">
        <f>Table2[[#This Row],[Price/Sq.ft]]</f>
        <v/>
      </c>
      <c r="N111" s="8" t="e">
        <f>VLOOKUP(Table2[[#This Row],[Unit ]],'[1]Muraba Unit Wise Details '!$C$4:$L$67,10,FALSE)</f>
        <v>#N/A</v>
      </c>
      <c r="O111" s="8" t="e">
        <f>Table2[[#This Row],[Column2]]-Table2[[#This Row],[Price]]</f>
        <v>#N/A</v>
      </c>
      <c r="P111" s="8" t="e">
        <f>Table2[[#This Row],[Price]]/Table2[[#This Row],[Total Area
(Sq.ft)]]</f>
        <v>#DIV/0!</v>
      </c>
      <c r="Q111" s="162" t="e">
        <f>Table2[[#This Row],[Price]]/Table2[[#This Row],[Sellable Area
(Sq. ft)]]</f>
        <v>#VALUE!</v>
      </c>
      <c r="R111" s="209"/>
      <c r="S111" s="183"/>
      <c r="T111" s="183"/>
      <c r="U111" s="160"/>
      <c r="W111" s="183"/>
      <c r="Y111" s="183"/>
      <c r="AE111" s="183"/>
      <c r="AF111" s="12"/>
      <c r="AG111" s="11"/>
      <c r="AH111" s="9"/>
    </row>
    <row r="112" spans="1:36" x14ac:dyDescent="0.35">
      <c r="A112" s="157" t="str">
        <f>IF(Table2[[#This Row],[Unit ]]="","","2 Bedroom")</f>
        <v/>
      </c>
      <c r="B112" s="158" t="s">
        <v>21</v>
      </c>
      <c r="C112" s="159" t="str">
        <f>'Launches Residences'!E69</f>
        <v/>
      </c>
      <c r="D112" s="160" t="str">
        <f>LEFT(Table2[[#This Row],[Unit ]],2)</f>
        <v/>
      </c>
      <c r="E112" s="161" t="str">
        <f>IF(Table2[[#This Row],[Unit ]]="","",_xlfn.XLOOKUP(Table2[[#This Row],[Type]],'Muraba Veil Sale Summary'!A:A,'Muraba Veil Sale Summary'!P:P))</f>
        <v/>
      </c>
      <c r="F112" s="162" t="str">
        <f>IF(Table2[[#This Row],[Unit ]]="","",_xlfn.XLOOKUP(Table2[[#This Row],[Type]],'Muraba Veil Sale Summary'!$A:$A,'Muraba Veil Sale Summary'!F:F))</f>
        <v/>
      </c>
      <c r="G112" s="162" t="str">
        <f>IF(Table2[[#This Row],[Unit ]]="","",_xlfn.XLOOKUP(Table2[[#This Row],[Type]],'Muraba Veil Sale Summary'!$A:$A,'Muraba Veil Sale Summary'!G:G))</f>
        <v/>
      </c>
      <c r="H112" s="162">
        <f t="shared" si="12"/>
        <v>0</v>
      </c>
      <c r="I112" s="163">
        <f>'Launches Residences'!$U$7</f>
        <v>0.3</v>
      </c>
      <c r="J112" s="162" t="str">
        <f>IF(Table2[[#This Row],[Unit ]]="","",F112+(G112*Table2[[#This Row],[Terrace Area]]))</f>
        <v/>
      </c>
      <c r="K112" s="8" t="str" cm="1">
        <f t="array" ref="K112">IFERROR(_xlfn.XLOOKUP(Table2[[#This Row],[Unit ]],_xlfn.VSTACK('Launches Residences'!$E$15:$E$82,'Launches Residences'!$F$15:$F$82),_xlfn.VSTACK('Launches Residences'!$I$15:$I$82,'Launches Residences'!$I$15:$I$82)),0)</f>
        <v/>
      </c>
      <c r="L112" s="8">
        <f t="shared" si="13"/>
        <v>0</v>
      </c>
      <c r="M112" s="3" t="str">
        <f>Table2[[#This Row],[Price/Sq.ft]]</f>
        <v/>
      </c>
      <c r="N112" s="8" t="e">
        <f>VLOOKUP(Table2[[#This Row],[Unit ]],'[1]Muraba Unit Wise Details '!$C$4:$L$67,10,FALSE)</f>
        <v>#N/A</v>
      </c>
      <c r="O112" s="8" t="e">
        <f>Table2[[#This Row],[Column2]]-Table2[[#This Row],[Price]]</f>
        <v>#N/A</v>
      </c>
      <c r="P112" s="8" t="e">
        <f>Table2[[#This Row],[Price]]/Table2[[#This Row],[Total Area
(Sq.ft)]]</f>
        <v>#DIV/0!</v>
      </c>
      <c r="Q112" s="162" t="e">
        <f>Table2[[#This Row],[Price]]/Table2[[#This Row],[Sellable Area
(Sq. ft)]]</f>
        <v>#VALUE!</v>
      </c>
      <c r="R112" s="209"/>
      <c r="S112" s="183"/>
      <c r="T112" s="183"/>
      <c r="U112" s="160"/>
      <c r="W112" s="183"/>
      <c r="Y112" s="183"/>
      <c r="AE112" s="183"/>
      <c r="AF112" s="12"/>
      <c r="AG112" s="11"/>
      <c r="AH112" s="9"/>
    </row>
    <row r="113" spans="1:34" x14ac:dyDescent="0.35">
      <c r="A113" s="157" t="str">
        <f>IF(Table2[[#This Row],[Unit ]]="","","2 Bedroom")</f>
        <v/>
      </c>
      <c r="B113" s="158" t="s">
        <v>21</v>
      </c>
      <c r="C113" s="159" t="str">
        <f>'Launches Residences'!F69</f>
        <v/>
      </c>
      <c r="D113" s="160" t="str">
        <f>LEFT(Table2[[#This Row],[Unit ]],2)</f>
        <v/>
      </c>
      <c r="E113" s="161" t="str">
        <f>IF(Table2[[#This Row],[Unit ]]="","",_xlfn.XLOOKUP(Table2[[#This Row],[Type]],'Muraba Veil Sale Summary'!A:A,'Muraba Veil Sale Summary'!P:P))</f>
        <v/>
      </c>
      <c r="F113" s="162" t="str">
        <f>IF(Table2[[#This Row],[Unit ]]="","",_xlfn.XLOOKUP(Table2[[#This Row],[Type]],'Muraba Veil Sale Summary'!$A:$A,'Muraba Veil Sale Summary'!F:F))</f>
        <v/>
      </c>
      <c r="G113" s="162" t="str">
        <f>IF(Table2[[#This Row],[Unit ]]="","",_xlfn.XLOOKUP(Table2[[#This Row],[Type]],'Muraba Veil Sale Summary'!$A:$A,'Muraba Veil Sale Summary'!G:G))</f>
        <v/>
      </c>
      <c r="H113" s="162">
        <f t="shared" si="12"/>
        <v>0</v>
      </c>
      <c r="I113" s="163">
        <f>'Launches Residences'!$U$7</f>
        <v>0.3</v>
      </c>
      <c r="J113" s="162" t="str">
        <f>IF(Table2[[#This Row],[Unit ]]="","",F113+(G113*Table2[[#This Row],[Terrace Area]]))</f>
        <v/>
      </c>
      <c r="K113" s="8" t="str" cm="1">
        <f t="array" ref="K113">IFERROR(_xlfn.XLOOKUP(Table2[[#This Row],[Unit ]],_xlfn.VSTACK('Launches Residences'!$E$15:$E$82,'Launches Residences'!$F$15:$F$82),_xlfn.VSTACK('Launches Residences'!$I$15:$I$82,'Launches Residences'!$I$15:$I$82)),0)</f>
        <v/>
      </c>
      <c r="L113" s="8">
        <f t="shared" si="13"/>
        <v>0</v>
      </c>
      <c r="M113" s="3" t="str">
        <f>Table2[[#This Row],[Price/Sq.ft]]</f>
        <v/>
      </c>
      <c r="N113" s="8" t="e">
        <f>VLOOKUP(Table2[[#This Row],[Unit ]],'[1]Muraba Unit Wise Details '!$C$4:$L$67,10,FALSE)</f>
        <v>#N/A</v>
      </c>
      <c r="O113" s="8" t="e">
        <f>Table2[[#This Row],[Column2]]-Table2[[#This Row],[Price]]</f>
        <v>#N/A</v>
      </c>
      <c r="P113" s="8" t="e">
        <f>Table2[[#This Row],[Price]]/Table2[[#This Row],[Total Area
(Sq.ft)]]</f>
        <v>#DIV/0!</v>
      </c>
      <c r="Q113" s="162" t="e">
        <f>Table2[[#This Row],[Price]]/Table2[[#This Row],[Sellable Area
(Sq. ft)]]</f>
        <v>#VALUE!</v>
      </c>
      <c r="R113" s="209"/>
      <c r="S113" s="183"/>
      <c r="T113" s="183"/>
      <c r="U113" s="160"/>
      <c r="W113" s="183"/>
      <c r="Y113" s="183"/>
      <c r="AE113" s="183"/>
      <c r="AF113" s="12"/>
      <c r="AG113" s="11"/>
      <c r="AH113" s="9"/>
    </row>
    <row r="114" spans="1:34" x14ac:dyDescent="0.35">
      <c r="A114" s="157" t="str">
        <f>IF(Table2[[#This Row],[Unit ]]="","","2 Bedroom")</f>
        <v/>
      </c>
      <c r="B114" s="158" t="s">
        <v>21</v>
      </c>
      <c r="C114" s="159" t="str">
        <f>'Launches Residences'!E70</f>
        <v/>
      </c>
      <c r="D114" s="160" t="str">
        <f>LEFT(Table2[[#This Row],[Unit ]],2)</f>
        <v/>
      </c>
      <c r="E114" s="161" t="str">
        <f>IF(Table2[[#This Row],[Unit ]]="","",_xlfn.XLOOKUP(Table2[[#This Row],[Type]],'Muraba Veil Sale Summary'!A:A,'Muraba Veil Sale Summary'!P:P))</f>
        <v/>
      </c>
      <c r="F114" s="162" t="str">
        <f>IF(Table2[[#This Row],[Unit ]]="","",_xlfn.XLOOKUP(Table2[[#This Row],[Type]],'Muraba Veil Sale Summary'!$A:$A,'Muraba Veil Sale Summary'!F:F))</f>
        <v/>
      </c>
      <c r="G114" s="162" t="str">
        <f>IF(Table2[[#This Row],[Unit ]]="","",_xlfn.XLOOKUP(Table2[[#This Row],[Type]],'Muraba Veil Sale Summary'!$A:$A,'Muraba Veil Sale Summary'!G:G))</f>
        <v/>
      </c>
      <c r="H114" s="162">
        <f t="shared" si="12"/>
        <v>0</v>
      </c>
      <c r="I114" s="163">
        <f>'Launches Residences'!$U$7</f>
        <v>0.3</v>
      </c>
      <c r="J114" s="162" t="str">
        <f>IF(Table2[[#This Row],[Unit ]]="","",F114+(G114*Table2[[#This Row],[Terrace Area]]))</f>
        <v/>
      </c>
      <c r="K114" s="8" t="str" cm="1">
        <f t="array" ref="K114">IFERROR(_xlfn.XLOOKUP(Table2[[#This Row],[Unit ]],_xlfn.VSTACK('Launches Residences'!$E$15:$E$82,'Launches Residences'!$F$15:$F$82),_xlfn.VSTACK('Launches Residences'!$I$15:$I$82,'Launches Residences'!$I$15:$I$82)),0)</f>
        <v/>
      </c>
      <c r="L114" s="8">
        <f t="shared" si="13"/>
        <v>0</v>
      </c>
      <c r="M114" s="3" t="str">
        <f>Table2[[#This Row],[Price/Sq.ft]]</f>
        <v/>
      </c>
      <c r="N114" s="8" t="e">
        <f>VLOOKUP(Table2[[#This Row],[Unit ]],'[1]Muraba Unit Wise Details '!$C$4:$L$67,10,FALSE)</f>
        <v>#N/A</v>
      </c>
      <c r="O114" s="8" t="e">
        <f>Table2[[#This Row],[Column2]]-Table2[[#This Row],[Price]]</f>
        <v>#N/A</v>
      </c>
      <c r="P114" s="8" t="e">
        <f>Table2[[#This Row],[Price]]/Table2[[#This Row],[Total Area
(Sq.ft)]]</f>
        <v>#DIV/0!</v>
      </c>
      <c r="Q114" s="162" t="e">
        <f>Table2[[#This Row],[Price]]/Table2[[#This Row],[Sellable Area
(Sq. ft)]]</f>
        <v>#VALUE!</v>
      </c>
      <c r="R114" s="209"/>
      <c r="S114" s="183"/>
      <c r="T114" s="183"/>
      <c r="U114" s="160"/>
      <c r="W114" s="183"/>
      <c r="Y114" s="183"/>
      <c r="AE114" s="183"/>
      <c r="AF114" s="12"/>
      <c r="AG114" s="11"/>
      <c r="AH114" s="9"/>
    </row>
    <row r="115" spans="1:34" x14ac:dyDescent="0.35">
      <c r="A115" s="157" t="str">
        <f>IF(Table2[[#This Row],[Unit ]]="","","2 Bedroom")</f>
        <v/>
      </c>
      <c r="B115" s="158" t="s">
        <v>21</v>
      </c>
      <c r="C115" s="159" t="str">
        <f>'Launches Residences'!F70</f>
        <v/>
      </c>
      <c r="D115" s="160" t="str">
        <f>LEFT(Table2[[#This Row],[Unit ]],2)</f>
        <v/>
      </c>
      <c r="E115" s="161" t="str">
        <f>IF(Table2[[#This Row],[Unit ]]="","",_xlfn.XLOOKUP(Table2[[#This Row],[Type]],'Muraba Veil Sale Summary'!A:A,'Muraba Veil Sale Summary'!P:P))</f>
        <v/>
      </c>
      <c r="F115" s="162" t="str">
        <f>IF(Table2[[#This Row],[Unit ]]="","",_xlfn.XLOOKUP(Table2[[#This Row],[Type]],'Muraba Veil Sale Summary'!$A:$A,'Muraba Veil Sale Summary'!F:F))</f>
        <v/>
      </c>
      <c r="G115" s="162" t="str">
        <f>IF(Table2[[#This Row],[Unit ]]="","",_xlfn.XLOOKUP(Table2[[#This Row],[Type]],'Muraba Veil Sale Summary'!$A:$A,'Muraba Veil Sale Summary'!G:G))</f>
        <v/>
      </c>
      <c r="H115" s="162">
        <f t="shared" si="12"/>
        <v>0</v>
      </c>
      <c r="I115" s="163">
        <f>'Launches Residences'!$U$7</f>
        <v>0.3</v>
      </c>
      <c r="J115" s="162" t="str">
        <f>IF(Table2[[#This Row],[Unit ]]="","",F115+(G115*Table2[[#This Row],[Terrace Area]]))</f>
        <v/>
      </c>
      <c r="K115" s="8" t="str" cm="1">
        <f t="array" ref="K115">IFERROR(_xlfn.XLOOKUP(Table2[[#This Row],[Unit ]],_xlfn.VSTACK('Launches Residences'!$E$15:$E$82,'Launches Residences'!$F$15:$F$82),_xlfn.VSTACK('Launches Residences'!$I$15:$I$82,'Launches Residences'!$I$15:$I$82)),0)</f>
        <v/>
      </c>
      <c r="L115" s="8">
        <f t="shared" si="13"/>
        <v>0</v>
      </c>
      <c r="M115" s="3" t="str">
        <f>Table2[[#This Row],[Price/Sq.ft]]</f>
        <v/>
      </c>
      <c r="N115" s="8" t="e">
        <f>VLOOKUP(Table2[[#This Row],[Unit ]],'[1]Muraba Unit Wise Details '!$C$4:$L$67,10,FALSE)</f>
        <v>#N/A</v>
      </c>
      <c r="O115" s="8" t="e">
        <f>Table2[[#This Row],[Column2]]-Table2[[#This Row],[Price]]</f>
        <v>#N/A</v>
      </c>
      <c r="P115" s="8" t="e">
        <f>Table2[[#This Row],[Price]]/Table2[[#This Row],[Total Area
(Sq.ft)]]</f>
        <v>#DIV/0!</v>
      </c>
      <c r="Q115" s="162" t="e">
        <f>Table2[[#This Row],[Price]]/Table2[[#This Row],[Sellable Area
(Sq. ft)]]</f>
        <v>#VALUE!</v>
      </c>
      <c r="R115" s="209"/>
      <c r="S115" s="183"/>
      <c r="T115" s="183"/>
      <c r="U115" s="160"/>
      <c r="W115" s="183"/>
      <c r="Y115" s="183"/>
      <c r="AE115" s="183"/>
      <c r="AF115" s="12"/>
      <c r="AG115" s="11"/>
      <c r="AH115" s="9"/>
    </row>
    <row r="116" spans="1:34" x14ac:dyDescent="0.35">
      <c r="A116" s="157" t="str">
        <f>IF(Table2[[#This Row],[Unit ]]="","","2 Bedroom")</f>
        <v/>
      </c>
      <c r="B116" s="158" t="s">
        <v>21</v>
      </c>
      <c r="C116" s="159" t="str">
        <f>'Launches Residences'!E71</f>
        <v/>
      </c>
      <c r="D116" s="160" t="str">
        <f>LEFT(Table2[[#This Row],[Unit ]],2)</f>
        <v/>
      </c>
      <c r="E116" s="161" t="str">
        <f>IF(Table2[[#This Row],[Unit ]]="","",_xlfn.XLOOKUP(Table2[[#This Row],[Type]],'Muraba Veil Sale Summary'!A:A,'Muraba Veil Sale Summary'!P:P))</f>
        <v/>
      </c>
      <c r="F116" s="162" t="str">
        <f>IF(Table2[[#This Row],[Unit ]]="","",_xlfn.XLOOKUP(Table2[[#This Row],[Type]],'Muraba Veil Sale Summary'!$A:$A,'Muraba Veil Sale Summary'!F:F))</f>
        <v/>
      </c>
      <c r="G116" s="162" t="str">
        <f>IF(Table2[[#This Row],[Unit ]]="","",_xlfn.XLOOKUP(Table2[[#This Row],[Type]],'Muraba Veil Sale Summary'!$A:$A,'Muraba Veil Sale Summary'!G:G))</f>
        <v/>
      </c>
      <c r="H116" s="162">
        <f t="shared" si="12"/>
        <v>0</v>
      </c>
      <c r="I116" s="163">
        <f>'Launches Residences'!$U$7</f>
        <v>0.3</v>
      </c>
      <c r="J116" s="162" t="str">
        <f>IF(Table2[[#This Row],[Unit ]]="","",F116+(G116*Table2[[#This Row],[Terrace Area]]))</f>
        <v/>
      </c>
      <c r="K116" s="8" t="str" cm="1">
        <f t="array" ref="K116">IFERROR(_xlfn.XLOOKUP(Table2[[#This Row],[Unit ]],_xlfn.VSTACK('Launches Residences'!$E$15:$E$82,'Launches Residences'!$F$15:$F$82),_xlfn.VSTACK('Launches Residences'!$I$15:$I$82,'Launches Residences'!$I$15:$I$82)),0)</f>
        <v/>
      </c>
      <c r="L116" s="8">
        <f t="shared" si="13"/>
        <v>0</v>
      </c>
      <c r="M116" s="3" t="str">
        <f>Table2[[#This Row],[Price/Sq.ft]]</f>
        <v/>
      </c>
      <c r="N116" s="8" t="e">
        <f>VLOOKUP(Table2[[#This Row],[Unit ]],'[1]Muraba Unit Wise Details '!$C$4:$L$67,10,FALSE)</f>
        <v>#N/A</v>
      </c>
      <c r="O116" s="8" t="e">
        <f>Table2[[#This Row],[Column2]]-Table2[[#This Row],[Price]]</f>
        <v>#N/A</v>
      </c>
      <c r="P116" s="8" t="e">
        <f>Table2[[#This Row],[Price]]/Table2[[#This Row],[Total Area
(Sq.ft)]]</f>
        <v>#DIV/0!</v>
      </c>
      <c r="Q116" s="162" t="e">
        <f>Table2[[#This Row],[Price]]/Table2[[#This Row],[Sellable Area
(Sq. ft)]]</f>
        <v>#VALUE!</v>
      </c>
      <c r="R116" s="209"/>
      <c r="S116" s="183"/>
      <c r="T116" s="183"/>
      <c r="U116" s="160"/>
      <c r="W116" s="183"/>
      <c r="Y116" s="183"/>
      <c r="AE116" s="183"/>
      <c r="AF116" s="12"/>
      <c r="AG116" s="11"/>
      <c r="AH116" s="9"/>
    </row>
    <row r="117" spans="1:34" x14ac:dyDescent="0.35">
      <c r="A117" s="157" t="str">
        <f>IF(Table2[[#This Row],[Unit ]]="","","2 Bedroom")</f>
        <v/>
      </c>
      <c r="B117" s="158" t="s">
        <v>21</v>
      </c>
      <c r="C117" s="159" t="str">
        <f>'Launches Residences'!F71</f>
        <v/>
      </c>
      <c r="D117" s="160" t="str">
        <f>LEFT(Table2[[#This Row],[Unit ]],2)</f>
        <v/>
      </c>
      <c r="E117" s="161" t="str">
        <f>IF(Table2[[#This Row],[Unit ]]="","",_xlfn.XLOOKUP(Table2[[#This Row],[Type]],'Muraba Veil Sale Summary'!A:A,'Muraba Veil Sale Summary'!P:P))</f>
        <v/>
      </c>
      <c r="F117" s="162" t="str">
        <f>IF(Table2[[#This Row],[Unit ]]="","",_xlfn.XLOOKUP(Table2[[#This Row],[Type]],'Muraba Veil Sale Summary'!$A:$A,'Muraba Veil Sale Summary'!F:F))</f>
        <v/>
      </c>
      <c r="G117" s="162" t="str">
        <f>IF(Table2[[#This Row],[Unit ]]="","",_xlfn.XLOOKUP(Table2[[#This Row],[Type]],'Muraba Veil Sale Summary'!$A:$A,'Muraba Veil Sale Summary'!G:G))</f>
        <v/>
      </c>
      <c r="H117" s="162">
        <f t="shared" si="12"/>
        <v>0</v>
      </c>
      <c r="I117" s="163">
        <f>'Launches Residences'!$U$7</f>
        <v>0.3</v>
      </c>
      <c r="J117" s="162" t="str">
        <f>IF(Table2[[#This Row],[Unit ]]="","",F117+(G117*Table2[[#This Row],[Terrace Area]]))</f>
        <v/>
      </c>
      <c r="K117" s="8" t="str" cm="1">
        <f t="array" ref="K117">IFERROR(_xlfn.XLOOKUP(Table2[[#This Row],[Unit ]],_xlfn.VSTACK('Launches Residences'!$E$15:$E$82,'Launches Residences'!$F$15:$F$82),_xlfn.VSTACK('Launches Residences'!$I$15:$I$82,'Launches Residences'!$I$15:$I$82)),0)</f>
        <v/>
      </c>
      <c r="L117" s="8">
        <f t="shared" si="13"/>
        <v>0</v>
      </c>
      <c r="M117" s="3" t="str">
        <f>Table2[[#This Row],[Price/Sq.ft]]</f>
        <v/>
      </c>
      <c r="N117" s="8" t="e">
        <f>VLOOKUP(Table2[[#This Row],[Unit ]],'[1]Muraba Unit Wise Details '!$C$4:$L$67,10,FALSE)</f>
        <v>#N/A</v>
      </c>
      <c r="O117" s="8" t="e">
        <f>Table2[[#This Row],[Column2]]-Table2[[#This Row],[Price]]</f>
        <v>#N/A</v>
      </c>
      <c r="P117" s="8" t="e">
        <f>Table2[[#This Row],[Price]]/Table2[[#This Row],[Total Area
(Sq.ft)]]</f>
        <v>#DIV/0!</v>
      </c>
      <c r="Q117" s="162" t="e">
        <f>Table2[[#This Row],[Price]]/Table2[[#This Row],[Sellable Area
(Sq. ft)]]</f>
        <v>#VALUE!</v>
      </c>
      <c r="R117" s="209"/>
      <c r="S117" s="183"/>
      <c r="T117" s="183"/>
      <c r="U117" s="160"/>
      <c r="W117" s="183"/>
      <c r="Y117" s="183"/>
      <c r="AE117" s="183"/>
      <c r="AF117" s="12"/>
      <c r="AG117" s="11"/>
      <c r="AH117" s="9"/>
    </row>
    <row r="118" spans="1:34" ht="16.5" x14ac:dyDescent="0.35">
      <c r="A118" s="173" t="str">
        <f>IF(Table2[[#This Row],[Unit ]]="","","3 Bedroom")</f>
        <v>3 Bedroom</v>
      </c>
      <c r="B118" s="166" t="s">
        <v>19</v>
      </c>
      <c r="C118" s="165">
        <v>301</v>
      </c>
      <c r="D118" s="167" t="s">
        <v>20</v>
      </c>
      <c r="E118" s="168">
        <f>IF(Table2[[#This Row],[Unit ]]="","",_xlfn.XLOOKUP(Table2[[#This Row],[Type]],'Muraba Veil Sale Summary'!A:A,'Muraba Veil Sale Summary'!P:P))</f>
        <v>2</v>
      </c>
      <c r="F118" s="169">
        <f>IF(Table2[[#This Row],[Unit ]]="","",_xlfn.XLOOKUP(Table2[[#This Row],[Type]],'Muraba Veil Sale Summary'!$A:$A,'Muraba Veil Sale Summary'!F:F))</f>
        <v>2880.5300621440001</v>
      </c>
      <c r="G118" s="169">
        <f>IF(Table2[[#This Row],[Unit ]]="","",_xlfn.XLOOKUP(Table2[[#This Row],[Type]],'Muraba Veil Sale Summary'!$A:$A,'Muraba Veil Sale Summary'!G:G))</f>
        <v>2058.9207813120001</v>
      </c>
      <c r="H118" s="169">
        <f t="shared" si="9"/>
        <v>4939.4508434560003</v>
      </c>
      <c r="I118" s="170">
        <f>'Launches Residences'!$U$7</f>
        <v>0.3</v>
      </c>
      <c r="J118" s="169">
        <f>IF(Table2[[#This Row],[Unit ]]="","",F118+(G118*Table2[[#This Row],[Terrace Area]]))</f>
        <v>3498.2062965375999</v>
      </c>
      <c r="K118" s="171">
        <f>IF(Table2[[#This Row],[Unit ]]="","",'Launches Residences'!H15)</f>
        <v>4350</v>
      </c>
      <c r="L118" s="171">
        <v>15217197.389938559</v>
      </c>
      <c r="M118" s="172">
        <f>Table2[[#This Row],[Price/Sq.ft]]</f>
        <v>4350</v>
      </c>
      <c r="N118" s="8" t="e">
        <f>VLOOKUP(Table2[[#This Row],[Unit ]],'[1]Muraba Unit Wise Details '!$C$4:$L$67,10,FALSE)</f>
        <v>#N/A</v>
      </c>
      <c r="O118" s="8" t="e">
        <f>Table2[[#This Row],[Column2]]-Table2[[#This Row],[Price]]</f>
        <v>#N/A</v>
      </c>
      <c r="P118" s="8">
        <f>Table2[[#This Row],[Price]]/Table2[[#This Row],[Total Area
(Sq.ft)]]</f>
        <v>3080.7468020658544</v>
      </c>
      <c r="Q118" s="162">
        <f>Table2[[#This Row],[Price]]/Table2[[#This Row],[Sellable Area
(Sq. ft)]]</f>
        <v>4350</v>
      </c>
      <c r="R118" s="209"/>
      <c r="S118" s="183"/>
      <c r="T118" s="183"/>
      <c r="U118" s="160"/>
      <c r="W118" s="183"/>
      <c r="Y118" s="183"/>
      <c r="AE118" s="183"/>
      <c r="AF118" s="12"/>
      <c r="AG118" s="11"/>
      <c r="AH118" s="9"/>
    </row>
    <row r="119" spans="1:34" ht="16.5" x14ac:dyDescent="0.35">
      <c r="A119" s="173" t="str">
        <f>IF(Table2[[#This Row],[Unit ]]="","","3 Bedroom")</f>
        <v>3 Bedroom</v>
      </c>
      <c r="B119" s="166" t="s">
        <v>19</v>
      </c>
      <c r="C119" s="165">
        <v>401</v>
      </c>
      <c r="D119" s="167" t="s">
        <v>22</v>
      </c>
      <c r="E119" s="168">
        <f>IF(Table2[[#This Row],[Unit ]]="","",_xlfn.XLOOKUP(Table2[[#This Row],[Type]],'Muraba Veil Sale Summary'!A:A,'Muraba Veil Sale Summary'!P:P))</f>
        <v>2</v>
      </c>
      <c r="F119" s="169">
        <f>IF(Table2[[#This Row],[Unit ]]="","",_xlfn.XLOOKUP(Table2[[#This Row],[Type]],'Muraba Veil Sale Summary'!$A:$A,'Muraba Veil Sale Summary'!F:F))</f>
        <v>2880.5300621440001</v>
      </c>
      <c r="G119" s="169">
        <f>IF(Table2[[#This Row],[Unit ]]="","",_xlfn.XLOOKUP(Table2[[#This Row],[Type]],'Muraba Veil Sale Summary'!$A:$A,'Muraba Veil Sale Summary'!G:G))</f>
        <v>2058.9207813120001</v>
      </c>
      <c r="H119" s="169">
        <f t="shared" si="9"/>
        <v>4939.4508434560003</v>
      </c>
      <c r="I119" s="170">
        <f>'Launches Residences'!$U$7</f>
        <v>0.3</v>
      </c>
      <c r="J119" s="169">
        <f>IF(Table2[[#This Row],[Unit ]]="","",F119+(G119*Table2[[#This Row],[Terrace Area]]))</f>
        <v>3498.2062965375999</v>
      </c>
      <c r="K119" s="171">
        <f>IF(Table2[[#This Row],[Unit ]]="","",'Launches Residences'!H16)</f>
        <v>4650</v>
      </c>
      <c r="L119" s="171">
        <v>16266659.278899839</v>
      </c>
      <c r="M119" s="172">
        <f>Table2[[#This Row],[Price/Sq.ft]]</f>
        <v>4650</v>
      </c>
      <c r="N119" s="8" t="e">
        <f>VLOOKUP(Table2[[#This Row],[Unit ]],'[1]Muraba Unit Wise Details '!$C$4:$L$67,10,FALSE)</f>
        <v>#N/A</v>
      </c>
      <c r="O119" s="8" t="e">
        <f>Table2[[#This Row],[Column2]]-Table2[[#This Row],[Price]]</f>
        <v>#N/A</v>
      </c>
      <c r="P119" s="8">
        <f>Table2[[#This Row],[Price]]/Table2[[#This Row],[Total Area
(Sq.ft)]]</f>
        <v>3293.212098760051</v>
      </c>
      <c r="Q119" s="162">
        <f>Table2[[#This Row],[Price]]/Table2[[#This Row],[Sellable Area
(Sq. ft)]]</f>
        <v>4650</v>
      </c>
      <c r="R119" s="209">
        <f>Table2[[#This Row],[Column5]]-Q118</f>
        <v>300</v>
      </c>
      <c r="S119" s="183"/>
      <c r="T119" s="183"/>
      <c r="U119" s="160"/>
      <c r="Y119" s="183"/>
      <c r="AE119" s="183"/>
      <c r="AF119" s="12"/>
      <c r="AG119" s="11"/>
      <c r="AH119" s="9"/>
    </row>
    <row r="120" spans="1:34" ht="16.5" x14ac:dyDescent="0.35">
      <c r="A120" s="173" t="str">
        <f>IF(Table2[[#This Row],[Unit ]]="","","3 Bedroom")</f>
        <v>3 Bedroom</v>
      </c>
      <c r="B120" s="166" t="s">
        <v>19</v>
      </c>
      <c r="C120" s="165">
        <v>501</v>
      </c>
      <c r="D120" s="167" t="s">
        <v>23</v>
      </c>
      <c r="E120" s="168">
        <f>IF(Table2[[#This Row],[Unit ]]="","",_xlfn.XLOOKUP(Table2[[#This Row],[Type]],'Muraba Veil Sale Summary'!A:A,'Muraba Veil Sale Summary'!P:P))</f>
        <v>2</v>
      </c>
      <c r="F120" s="169">
        <f>IF(Table2[[#This Row],[Unit ]]="","",_xlfn.XLOOKUP(Table2[[#This Row],[Type]],'Muraba Veil Sale Summary'!$A:$A,'Muraba Veil Sale Summary'!F:F))</f>
        <v>2880.5300621440001</v>
      </c>
      <c r="G120" s="169">
        <f>IF(Table2[[#This Row],[Unit ]]="","",_xlfn.XLOOKUP(Table2[[#This Row],[Type]],'Muraba Veil Sale Summary'!$A:$A,'Muraba Veil Sale Summary'!G:G))</f>
        <v>2058.9207813120001</v>
      </c>
      <c r="H120" s="169">
        <f t="shared" si="9"/>
        <v>4939.4508434560003</v>
      </c>
      <c r="I120" s="170">
        <f>'Launches Residences'!$U$7</f>
        <v>0.3</v>
      </c>
      <c r="J120" s="169">
        <f>IF(Table2[[#This Row],[Unit ]]="","",F120+(G120*Table2[[#This Row],[Terrace Area]]))</f>
        <v>3498.2062965375999</v>
      </c>
      <c r="K120" s="171">
        <f>IF(Table2[[#This Row],[Unit ]]="","",'Launches Residences'!H17)</f>
        <v>4550</v>
      </c>
      <c r="L120" s="171">
        <v>15916838.64924608</v>
      </c>
      <c r="M120" s="172">
        <f>Table2[[#This Row],[Price/Sq.ft]]</f>
        <v>4550</v>
      </c>
      <c r="N120" s="8" t="e">
        <f>VLOOKUP(Table2[[#This Row],[Unit ]],'[1]Muraba Unit Wise Details '!$C$4:$L$67,10,FALSE)</f>
        <v>#N/A</v>
      </c>
      <c r="O120" s="8" t="e">
        <f>Table2[[#This Row],[Column2]]-Table2[[#This Row],[Price]]</f>
        <v>#N/A</v>
      </c>
      <c r="P120" s="8">
        <f>Table2[[#This Row],[Price]]/Table2[[#This Row],[Total Area
(Sq.ft)]]</f>
        <v>3222.3903331953188</v>
      </c>
      <c r="Q120" s="162">
        <f>Table2[[#This Row],[Price]]/Table2[[#This Row],[Sellable Area
(Sq. ft)]]</f>
        <v>4550</v>
      </c>
      <c r="R120" s="209"/>
      <c r="S120" s="183"/>
      <c r="T120" s="183"/>
      <c r="U120" s="160"/>
      <c r="Y120" s="183"/>
      <c r="AE120" s="183"/>
      <c r="AF120" s="12"/>
      <c r="AG120" s="11"/>
      <c r="AH120" s="9"/>
    </row>
    <row r="121" spans="1:34" ht="16.5" x14ac:dyDescent="0.35">
      <c r="A121" s="173" t="str">
        <f>IF(Table2[[#This Row],[Unit ]]="","","3 Bedroom")</f>
        <v>3 Bedroom</v>
      </c>
      <c r="B121" s="166" t="s">
        <v>19</v>
      </c>
      <c r="C121" s="165">
        <v>601</v>
      </c>
      <c r="D121" s="167" t="s">
        <v>24</v>
      </c>
      <c r="E121" s="168">
        <f>IF(Table2[[#This Row],[Unit ]]="","",_xlfn.XLOOKUP(Table2[[#This Row],[Type]],'Muraba Veil Sale Summary'!A:A,'Muraba Veil Sale Summary'!P:P))</f>
        <v>2</v>
      </c>
      <c r="F121" s="169">
        <f>IF(Table2[[#This Row],[Unit ]]="","",_xlfn.XLOOKUP(Table2[[#This Row],[Type]],'Muraba Veil Sale Summary'!$A:$A,'Muraba Veil Sale Summary'!F:F))</f>
        <v>2880.5300621440001</v>
      </c>
      <c r="G121" s="169">
        <f>IF(Table2[[#This Row],[Unit ]]="","",_xlfn.XLOOKUP(Table2[[#This Row],[Type]],'Muraba Veil Sale Summary'!$A:$A,'Muraba Veil Sale Summary'!G:G))</f>
        <v>2058.9207813120001</v>
      </c>
      <c r="H121" s="169">
        <f t="shared" si="9"/>
        <v>4939.4508434560003</v>
      </c>
      <c r="I121" s="170">
        <f>'Launches Residences'!$U$7</f>
        <v>0.3</v>
      </c>
      <c r="J121" s="169">
        <f>IF(Table2[[#This Row],[Unit ]]="","",F121+(G121*Table2[[#This Row],[Terrace Area]]))</f>
        <v>3498.2062965375999</v>
      </c>
      <c r="K121" s="171">
        <f>IF(Table2[[#This Row],[Unit ]]="","",'Launches Residences'!H18)</f>
        <v>4850</v>
      </c>
      <c r="L121" s="171">
        <v>16966300.53820736</v>
      </c>
      <c r="M121" s="172">
        <f>Table2[[#This Row],[Price/Sq.ft]]</f>
        <v>4850</v>
      </c>
      <c r="N121" s="8" t="e">
        <f>VLOOKUP(Table2[[#This Row],[Unit ]],'[1]Muraba Unit Wise Details '!$C$4:$L$67,10,FALSE)</f>
        <v>#N/A</v>
      </c>
      <c r="O121" s="8" t="e">
        <f>Table2[[#This Row],[Column2]]-Table2[[#This Row],[Price]]</f>
        <v>#N/A</v>
      </c>
      <c r="P121" s="8">
        <f>Table2[[#This Row],[Price]]/Table2[[#This Row],[Total Area
(Sq.ft)]]</f>
        <v>3434.855629889516</v>
      </c>
      <c r="Q121" s="162">
        <f>Table2[[#This Row],[Price]]/Table2[[#This Row],[Sellable Area
(Sq. ft)]]</f>
        <v>4850</v>
      </c>
      <c r="R121" s="209"/>
      <c r="S121" s="183"/>
      <c r="T121" s="183"/>
      <c r="U121" s="160"/>
      <c r="AE121" s="183"/>
      <c r="AF121" s="12"/>
      <c r="AG121" s="11"/>
      <c r="AH121" s="9"/>
    </row>
    <row r="122" spans="1:34" ht="16.5" x14ac:dyDescent="0.35">
      <c r="A122" s="173" t="str">
        <f>IF(Table2[[#This Row],[Unit ]]="","","3 Bedroom")</f>
        <v>3 Bedroom</v>
      </c>
      <c r="B122" s="166" t="s">
        <v>19</v>
      </c>
      <c r="C122" s="165">
        <v>701</v>
      </c>
      <c r="D122" s="167" t="s">
        <v>26</v>
      </c>
      <c r="E122" s="168">
        <f>IF(Table2[[#This Row],[Unit ]]="","",_xlfn.XLOOKUP(Table2[[#This Row],[Type]],'Muraba Veil Sale Summary'!A:A,'Muraba Veil Sale Summary'!P:P))</f>
        <v>2</v>
      </c>
      <c r="F122" s="169">
        <f>IF(Table2[[#This Row],[Unit ]]="","",_xlfn.XLOOKUP(Table2[[#This Row],[Type]],'Muraba Veil Sale Summary'!$A:$A,'Muraba Veil Sale Summary'!F:F))</f>
        <v>2880.5300621440001</v>
      </c>
      <c r="G122" s="169">
        <f>IF(Table2[[#This Row],[Unit ]]="","",_xlfn.XLOOKUP(Table2[[#This Row],[Type]],'Muraba Veil Sale Summary'!$A:$A,'Muraba Veil Sale Summary'!G:G))</f>
        <v>2058.9207813120001</v>
      </c>
      <c r="H122" s="169">
        <f t="shared" si="9"/>
        <v>4939.4508434560003</v>
      </c>
      <c r="I122" s="170">
        <f>'Launches Residences'!$U$7</f>
        <v>0.3</v>
      </c>
      <c r="J122" s="169">
        <f>IF(Table2[[#This Row],[Unit ]]="","",F122+(G122*Table2[[#This Row],[Terrace Area]]))</f>
        <v>3498.2062965375999</v>
      </c>
      <c r="K122" s="171">
        <f>IF(Table2[[#This Row],[Unit ]]="","",'Launches Residences'!H19)</f>
        <v>4850</v>
      </c>
      <c r="L122" s="171">
        <v>16966300.53820736</v>
      </c>
      <c r="M122" s="172">
        <f>Table2[[#This Row],[Price/Sq.ft]]</f>
        <v>4850</v>
      </c>
      <c r="N122" s="8" t="e">
        <f>VLOOKUP(Table2[[#This Row],[Unit ]],'[1]Muraba Unit Wise Details '!$C$4:$L$67,10,FALSE)</f>
        <v>#N/A</v>
      </c>
      <c r="O122" s="8" t="e">
        <f>Table2[[#This Row],[Column2]]-Table2[[#This Row],[Price]]</f>
        <v>#N/A</v>
      </c>
      <c r="P122" s="8">
        <f>Table2[[#This Row],[Price]]/Table2[[#This Row],[Total Area
(Sq.ft)]]</f>
        <v>3434.855629889516</v>
      </c>
      <c r="Q122" s="162">
        <f>Table2[[#This Row],[Price]]/Table2[[#This Row],[Sellable Area
(Sq. ft)]]</f>
        <v>4850</v>
      </c>
      <c r="R122" s="209"/>
      <c r="S122" s="183"/>
      <c r="T122" s="183"/>
      <c r="U122" s="160"/>
      <c r="AE122" s="183"/>
      <c r="AF122" s="12"/>
      <c r="AG122" s="11"/>
      <c r="AH122" s="9"/>
    </row>
    <row r="123" spans="1:34" ht="16.5" x14ac:dyDescent="0.35">
      <c r="A123" s="173" t="str">
        <f>IF(Table2[[#This Row],[Unit ]]="","","3 Bedroom")</f>
        <v>3 Bedroom</v>
      </c>
      <c r="B123" s="166" t="s">
        <v>19</v>
      </c>
      <c r="C123" s="165">
        <v>801</v>
      </c>
      <c r="D123" s="167" t="s">
        <v>29</v>
      </c>
      <c r="E123" s="168">
        <f>IF(Table2[[#This Row],[Unit ]]="","",_xlfn.XLOOKUP(Table2[[#This Row],[Type]],'Muraba Veil Sale Summary'!A:A,'Muraba Veil Sale Summary'!P:P))</f>
        <v>2</v>
      </c>
      <c r="F123" s="169">
        <f>IF(Table2[[#This Row],[Unit ]]="","",_xlfn.XLOOKUP(Table2[[#This Row],[Type]],'Muraba Veil Sale Summary'!$A:$A,'Muraba Veil Sale Summary'!F:F))</f>
        <v>2880.5300621440001</v>
      </c>
      <c r="G123" s="169">
        <f>IF(Table2[[#This Row],[Unit ]]="","",_xlfn.XLOOKUP(Table2[[#This Row],[Type]],'Muraba Veil Sale Summary'!$A:$A,'Muraba Veil Sale Summary'!G:G))</f>
        <v>2058.9207813120001</v>
      </c>
      <c r="H123" s="169">
        <f t="shared" si="9"/>
        <v>4939.4508434560003</v>
      </c>
      <c r="I123" s="170">
        <f>'Launches Residences'!$U$7</f>
        <v>0.3</v>
      </c>
      <c r="J123" s="169">
        <f>IF(Table2[[#This Row],[Unit ]]="","",F123+(G123*Table2[[#This Row],[Terrace Area]]))</f>
        <v>3498.2062965375999</v>
      </c>
      <c r="K123" s="171">
        <f>IF(Table2[[#This Row],[Unit ]]="","",'Launches Residences'!H20)</f>
        <v>4902.2992285680366</v>
      </c>
      <c r="L123" s="171">
        <v>17149254.028888125</v>
      </c>
      <c r="M123" s="172">
        <f>Table2[[#This Row],[Price/Sq.ft]]</f>
        <v>4902.2992285680366</v>
      </c>
      <c r="N123" s="8" t="e">
        <f>VLOOKUP(Table2[[#This Row],[Unit ]],'[1]Muraba Unit Wise Details '!$C$4:$L$67,10,FALSE)</f>
        <v>#N/A</v>
      </c>
      <c r="O123" s="8" t="e">
        <f>Table2[[#This Row],[Column2]]-Table2[[#This Row],[Price]]</f>
        <v>#N/A</v>
      </c>
      <c r="P123" s="8">
        <f>Table2[[#This Row],[Price]]/Table2[[#This Row],[Total Area
(Sq.ft)]]</f>
        <v>3471.8948669381343</v>
      </c>
      <c r="Q123" s="162">
        <f>Table2[[#This Row],[Price]]/Table2[[#This Row],[Sellable Area
(Sq. ft)]]</f>
        <v>4902.2992285680366</v>
      </c>
      <c r="R123" s="209"/>
      <c r="S123" s="183"/>
      <c r="T123" s="183"/>
      <c r="U123" s="160"/>
      <c r="AE123" s="183"/>
      <c r="AF123" s="12"/>
      <c r="AG123" s="11"/>
      <c r="AH123" s="9"/>
    </row>
    <row r="124" spans="1:34" ht="16.5" x14ac:dyDescent="0.35">
      <c r="A124" s="173" t="str">
        <f>IF(Table2[[#This Row],[Unit ]]="","","3 Bedroom")</f>
        <v>3 Bedroom</v>
      </c>
      <c r="B124" s="166" t="s">
        <v>19</v>
      </c>
      <c r="C124" s="165">
        <v>901</v>
      </c>
      <c r="D124" s="167" t="s">
        <v>32</v>
      </c>
      <c r="E124" s="168">
        <f>IF(Table2[[#This Row],[Unit ]]="","",_xlfn.XLOOKUP(Table2[[#This Row],[Type]],'Muraba Veil Sale Summary'!A:A,'Muraba Veil Sale Summary'!P:P))</f>
        <v>2</v>
      </c>
      <c r="F124" s="169">
        <f>IF(Table2[[#This Row],[Unit ]]="","",_xlfn.XLOOKUP(Table2[[#This Row],[Type]],'Muraba Veil Sale Summary'!$A:$A,'Muraba Veil Sale Summary'!F:F))</f>
        <v>2880.5300621440001</v>
      </c>
      <c r="G124" s="169">
        <f>IF(Table2[[#This Row],[Unit ]]="","",_xlfn.XLOOKUP(Table2[[#This Row],[Type]],'Muraba Veil Sale Summary'!$A:$A,'Muraba Veil Sale Summary'!G:G))</f>
        <v>2058.9207813120001</v>
      </c>
      <c r="H124" s="169">
        <f t="shared" si="9"/>
        <v>4939.4508434560003</v>
      </c>
      <c r="I124" s="170">
        <f>'Launches Residences'!$U$7</f>
        <v>0.3</v>
      </c>
      <c r="J124" s="169">
        <f>IF(Table2[[#This Row],[Unit ]]="","",F124+(G124*Table2[[#This Row],[Terrace Area]]))</f>
        <v>3498.2062965375999</v>
      </c>
      <c r="K124" s="171">
        <f>IF(Table2[[#This Row],[Unit ]]="","",'Launches Residences'!H21)</f>
        <v>4950</v>
      </c>
      <c r="L124" s="171">
        <v>17316121.167861119</v>
      </c>
      <c r="M124" s="172">
        <f>Table2[[#This Row],[Price/Sq.ft]]</f>
        <v>4950</v>
      </c>
      <c r="N124" s="8" t="e">
        <f>VLOOKUP(Table2[[#This Row],[Unit ]],'[1]Muraba Unit Wise Details '!$C$4:$L$67,10,FALSE)</f>
        <v>#N/A</v>
      </c>
      <c r="O124" s="8" t="e">
        <f>Table2[[#This Row],[Column2]]-Table2[[#This Row],[Price]]</f>
        <v>#N/A</v>
      </c>
      <c r="P124" s="8">
        <f>Table2[[#This Row],[Price]]/Table2[[#This Row],[Total Area
(Sq.ft)]]</f>
        <v>3505.6773954542477</v>
      </c>
      <c r="Q124" s="162">
        <f>Table2[[#This Row],[Price]]/Table2[[#This Row],[Sellable Area
(Sq. ft)]]</f>
        <v>4950</v>
      </c>
      <c r="R124" s="209"/>
      <c r="S124" s="183"/>
      <c r="T124" s="183"/>
      <c r="U124" s="160"/>
      <c r="AE124" s="183"/>
      <c r="AF124" s="12"/>
      <c r="AG124" s="11"/>
      <c r="AH124" s="9"/>
    </row>
    <row r="125" spans="1:34" ht="16.5" x14ac:dyDescent="0.35">
      <c r="A125" s="173" t="str">
        <f>IF(Table2[[#This Row],[Unit ]]="","","3 Bedroom")</f>
        <v>3 Bedroom</v>
      </c>
      <c r="B125" s="166" t="s">
        <v>19</v>
      </c>
      <c r="C125" s="165">
        <v>1101</v>
      </c>
      <c r="D125" s="167" t="s">
        <v>35</v>
      </c>
      <c r="E125" s="168">
        <f>IF(Table2[[#This Row],[Unit ]]="","",_xlfn.XLOOKUP(Table2[[#This Row],[Type]],'Muraba Veil Sale Summary'!A:A,'Muraba Veil Sale Summary'!P:P))</f>
        <v>2</v>
      </c>
      <c r="F125" s="169">
        <f>IF(Table2[[#This Row],[Unit ]]="","",_xlfn.XLOOKUP(Table2[[#This Row],[Type]],'Muraba Veil Sale Summary'!$A:$A,'Muraba Veil Sale Summary'!F:F))</f>
        <v>2880.5300621440001</v>
      </c>
      <c r="G125" s="169">
        <f>IF(Table2[[#This Row],[Unit ]]="","",_xlfn.XLOOKUP(Table2[[#This Row],[Type]],'Muraba Veil Sale Summary'!$A:$A,'Muraba Veil Sale Summary'!G:G))</f>
        <v>2058.9207813120001</v>
      </c>
      <c r="H125" s="169">
        <f t="shared" si="9"/>
        <v>4939.4508434560003</v>
      </c>
      <c r="I125" s="170">
        <f>'Launches Residences'!$U$7</f>
        <v>0.3</v>
      </c>
      <c r="J125" s="169">
        <f>IF(Table2[[#This Row],[Unit ]]="","",F125+(G125*Table2[[#This Row],[Terrace Area]]))</f>
        <v>3498.2062965375999</v>
      </c>
      <c r="K125" s="171">
        <f>IF(Table2[[#This Row],[Unit ]]="","",'Launches Residences'!H22)</f>
        <v>5350</v>
      </c>
      <c r="L125" s="171">
        <v>18715403.68647616</v>
      </c>
      <c r="M125" s="172">
        <f>Table2[[#This Row],[Price/Sq.ft]]</f>
        <v>5350</v>
      </c>
      <c r="N125" s="8" t="e">
        <f>VLOOKUP(Table2[[#This Row],[Unit ]],'[1]Muraba Unit Wise Details '!$C$4:$L$67,10,FALSE)</f>
        <v>#N/A</v>
      </c>
      <c r="O125" s="8" t="e">
        <f>Table2[[#This Row],[Column2]]-Table2[[#This Row],[Price]]</f>
        <v>#N/A</v>
      </c>
      <c r="P125" s="8">
        <f>Table2[[#This Row],[Price]]/Table2[[#This Row],[Total Area
(Sq.ft)]]</f>
        <v>3788.9644577131771</v>
      </c>
      <c r="Q125" s="162">
        <f>Table2[[#This Row],[Price]]/Table2[[#This Row],[Sellable Area
(Sq. ft)]]</f>
        <v>5350</v>
      </c>
      <c r="R125" s="209"/>
      <c r="S125" s="183"/>
      <c r="T125" s="183"/>
      <c r="U125" s="160"/>
      <c r="AE125" s="183"/>
      <c r="AF125" s="12"/>
      <c r="AG125" s="11"/>
      <c r="AH125" s="9"/>
    </row>
    <row r="126" spans="1:34" ht="16.5" x14ac:dyDescent="0.35">
      <c r="A126" s="173" t="str">
        <f>IF(Table2[[#This Row],[Unit ]]="","","3 Bedroom")</f>
        <v>3 Bedroom</v>
      </c>
      <c r="B126" s="166" t="s">
        <v>19</v>
      </c>
      <c r="C126" s="165">
        <v>1201</v>
      </c>
      <c r="D126" s="167" t="s">
        <v>37</v>
      </c>
      <c r="E126" s="168">
        <f>IF(Table2[[#This Row],[Unit ]]="","",_xlfn.XLOOKUP(Table2[[#This Row],[Type]],'Muraba Veil Sale Summary'!A:A,'Muraba Veil Sale Summary'!P:P))</f>
        <v>2</v>
      </c>
      <c r="F126" s="169">
        <f>IF(Table2[[#This Row],[Unit ]]="","",_xlfn.XLOOKUP(Table2[[#This Row],[Type]],'Muraba Veil Sale Summary'!$A:$A,'Muraba Veil Sale Summary'!F:F))</f>
        <v>2880.5300621440001</v>
      </c>
      <c r="G126" s="169">
        <f>IF(Table2[[#This Row],[Unit ]]="","",_xlfn.XLOOKUP(Table2[[#This Row],[Type]],'Muraba Veil Sale Summary'!$A:$A,'Muraba Veil Sale Summary'!G:G))</f>
        <v>2058.9207813120001</v>
      </c>
      <c r="H126" s="169">
        <f t="shared" si="9"/>
        <v>4939.4508434560003</v>
      </c>
      <c r="I126" s="170">
        <f>'Launches Residences'!$U$7</f>
        <v>0.3</v>
      </c>
      <c r="J126" s="169">
        <f>IF(Table2[[#This Row],[Unit ]]="","",F126+(G126*Table2[[#This Row],[Terrace Area]]))</f>
        <v>3498.2062965375999</v>
      </c>
      <c r="K126" s="171">
        <f>IF(Table2[[#This Row],[Unit ]]="","",'Launches Residences'!H23)</f>
        <v>5150.0000000000009</v>
      </c>
      <c r="L126" s="171">
        <v>18015762.427168641</v>
      </c>
      <c r="M126" s="172">
        <f>Table2[[#This Row],[Price/Sq.ft]]</f>
        <v>5150.0000000000009</v>
      </c>
      <c r="N126" s="8" t="e">
        <f>VLOOKUP(Table2[[#This Row],[Unit ]],'[1]Muraba Unit Wise Details '!$C$4:$L$67,10,FALSE)</f>
        <v>#N/A</v>
      </c>
      <c r="O126" s="8" t="e">
        <f>Table2[[#This Row],[Column2]]-Table2[[#This Row],[Price]]</f>
        <v>#N/A</v>
      </c>
      <c r="P126" s="8">
        <f>Table2[[#This Row],[Price]]/Table2[[#This Row],[Total Area
(Sq.ft)]]</f>
        <v>3647.3209265837131</v>
      </c>
      <c r="Q126" s="162">
        <f>Table2[[#This Row],[Price]]/Table2[[#This Row],[Sellable Area
(Sq. ft)]]</f>
        <v>5150.0000000000009</v>
      </c>
      <c r="R126" s="209"/>
      <c r="S126" s="183"/>
      <c r="T126" s="183"/>
      <c r="U126" s="160"/>
      <c r="AE126" s="183"/>
      <c r="AF126" s="12"/>
      <c r="AG126" s="11"/>
      <c r="AH126" s="9"/>
    </row>
    <row r="127" spans="1:34" ht="16.5" x14ac:dyDescent="0.35">
      <c r="A127" s="157" t="str">
        <f>IF(Table2[[#This Row],[Unit ]]="","","3 Bedroom")</f>
        <v>3 Bedroom</v>
      </c>
      <c r="B127" s="158" t="s">
        <v>21</v>
      </c>
      <c r="C127" s="159">
        <v>1301</v>
      </c>
      <c r="D127" s="160" t="s">
        <v>38</v>
      </c>
      <c r="E127" s="161">
        <f>IF(Table2[[#This Row],[Unit ]]="","",_xlfn.XLOOKUP(Table2[[#This Row],[Type]],'Muraba Veil Sale Summary'!A:A,'Muraba Veil Sale Summary'!P:P))</f>
        <v>2</v>
      </c>
      <c r="F127" s="162">
        <f>IF(Table2[[#This Row],[Unit ]]="","",_xlfn.XLOOKUP(Table2[[#This Row],[Type]],'Muraba Veil Sale Summary'!$A:$A,'Muraba Veil Sale Summary'!F:F))</f>
        <v>2880.5300621440001</v>
      </c>
      <c r="G127" s="162">
        <f>IF(Table2[[#This Row],[Unit ]]="","",_xlfn.XLOOKUP(Table2[[#This Row],[Type]],'Muraba Veil Sale Summary'!$A:$A,'Muraba Veil Sale Summary'!G:G))</f>
        <v>2058.9207813120001</v>
      </c>
      <c r="H127" s="162">
        <f t="shared" si="9"/>
        <v>4939.4508434560003</v>
      </c>
      <c r="I127" s="163">
        <f>'Launches Residences'!$U$7</f>
        <v>0.3</v>
      </c>
      <c r="J127" s="162">
        <f>IF(Table2[[#This Row],[Unit ]]="","",F127+(G127*Table2[[#This Row],[Terrace Area]]))</f>
        <v>3498.2062965375999</v>
      </c>
      <c r="K127" s="8">
        <f>IF(Table2[[#This Row],[Unit ]]="","",'Launches Residences'!H24)</f>
        <v>5700.0000000000009</v>
      </c>
      <c r="L127" s="8">
        <f t="shared" ref="L127:L128" si="14">IFERROR(J127*K127,0)</f>
        <v>19939775.890264321</v>
      </c>
      <c r="M127" s="3">
        <f>Table2[[#This Row],[Price/Sq.ft]]</f>
        <v>5700.0000000000009</v>
      </c>
      <c r="N127" s="8" t="e">
        <f>VLOOKUP(Table2[[#This Row],[Unit ]],'[1]Muraba Unit Wise Details '!$C$4:$L$67,10,FALSE)</f>
        <v>#N/A</v>
      </c>
      <c r="O127" s="8" t="e">
        <f>Table2[[#This Row],[Column2]]-Table2[[#This Row],[Price]]</f>
        <v>#N/A</v>
      </c>
      <c r="P127" s="8">
        <f>Table2[[#This Row],[Price]]/Table2[[#This Row],[Total Area
(Sq.ft)]]</f>
        <v>4036.8406371897404</v>
      </c>
      <c r="Q127" s="162">
        <f>Table2[[#This Row],[Price]]/Table2[[#This Row],[Sellable Area
(Sq. ft)]]</f>
        <v>5700.0000000000009</v>
      </c>
      <c r="R127" s="209"/>
      <c r="S127" s="183"/>
      <c r="T127" s="183"/>
      <c r="U127" s="160"/>
      <c r="AE127" s="183"/>
      <c r="AF127" s="12"/>
      <c r="AG127" s="11"/>
      <c r="AH127" s="9"/>
    </row>
    <row r="128" spans="1:34" ht="16.5" x14ac:dyDescent="0.35">
      <c r="A128" s="157" t="str">
        <f>IF(Table2[[#This Row],[Unit ]]="","","3 Bedroom")</f>
        <v>3 Bedroom</v>
      </c>
      <c r="B128" s="158" t="s">
        <v>21</v>
      </c>
      <c r="C128" s="159">
        <v>1401</v>
      </c>
      <c r="D128" s="160" t="s">
        <v>39</v>
      </c>
      <c r="E128" s="161">
        <f>IF(Table2[[#This Row],[Unit ]]="","",_xlfn.XLOOKUP(Table2[[#This Row],[Type]],'Muraba Veil Sale Summary'!A:A,'Muraba Veil Sale Summary'!P:P))</f>
        <v>2</v>
      </c>
      <c r="F128" s="162">
        <f>IF(Table2[[#This Row],[Unit ]]="","",_xlfn.XLOOKUP(Table2[[#This Row],[Type]],'Muraba Veil Sale Summary'!$A:$A,'Muraba Veil Sale Summary'!F:F))</f>
        <v>2880.5300621440001</v>
      </c>
      <c r="G128" s="162">
        <f>IF(Table2[[#This Row],[Unit ]]="","",_xlfn.XLOOKUP(Table2[[#This Row],[Type]],'Muraba Veil Sale Summary'!$A:$A,'Muraba Veil Sale Summary'!G:G))</f>
        <v>2058.9207813120001</v>
      </c>
      <c r="H128" s="162">
        <f t="shared" si="9"/>
        <v>4939.4508434560003</v>
      </c>
      <c r="I128" s="163">
        <f>'Launches Residences'!$U$7</f>
        <v>0.3</v>
      </c>
      <c r="J128" s="162">
        <f>IF(Table2[[#This Row],[Unit ]]="","",F128+(G128*Table2[[#This Row],[Terrace Area]]))</f>
        <v>3498.2062965375999</v>
      </c>
      <c r="K128" s="8">
        <f>IF(Table2[[#This Row],[Unit ]]="","",'Launches Residences'!H25)</f>
        <v>5850</v>
      </c>
      <c r="L128" s="8">
        <f t="shared" si="14"/>
        <v>20464506.83474496</v>
      </c>
      <c r="M128" s="3">
        <f>Table2[[#This Row],[Price/Sq.ft]]</f>
        <v>5850</v>
      </c>
      <c r="N128" s="8" t="e">
        <f>VLOOKUP(Table2[[#This Row],[Unit ]],'[1]Muraba Unit Wise Details '!$C$4:$L$67,10,FALSE)</f>
        <v>#N/A</v>
      </c>
      <c r="O128" s="8" t="e">
        <f>Table2[[#This Row],[Column2]]-Table2[[#This Row],[Price]]</f>
        <v>#N/A</v>
      </c>
      <c r="P128" s="8">
        <f>Table2[[#This Row],[Price]]/Table2[[#This Row],[Total Area
(Sq.ft)]]</f>
        <v>4143.0732855368387</v>
      </c>
      <c r="Q128" s="162">
        <f>Table2[[#This Row],[Price]]/Table2[[#This Row],[Sellable Area
(Sq. ft)]]</f>
        <v>5850</v>
      </c>
      <c r="R128" s="209"/>
      <c r="S128" s="183"/>
      <c r="T128" s="183"/>
      <c r="U128" s="160"/>
      <c r="AE128" s="183"/>
      <c r="AF128" s="12"/>
      <c r="AG128" s="11"/>
      <c r="AH128" s="9"/>
    </row>
    <row r="129" spans="1:34" ht="16.5" x14ac:dyDescent="0.35">
      <c r="A129" s="173" t="str">
        <f>IF(Table2[[#This Row],[Unit ]]="","","3 Bedroom")</f>
        <v>3 Bedroom</v>
      </c>
      <c r="B129" s="166" t="s">
        <v>19</v>
      </c>
      <c r="C129" s="165">
        <v>1501</v>
      </c>
      <c r="D129" s="167" t="s">
        <v>40</v>
      </c>
      <c r="E129" s="168">
        <f>IF(Table2[[#This Row],[Unit ]]="","",_xlfn.XLOOKUP(Table2[[#This Row],[Type]],'Muraba Veil Sale Summary'!A:A,'Muraba Veil Sale Summary'!P:P))</f>
        <v>2</v>
      </c>
      <c r="F129" s="169">
        <f>IF(Table2[[#This Row],[Unit ]]="","",_xlfn.XLOOKUP(Table2[[#This Row],[Type]],'Muraba Veil Sale Summary'!$A:$A,'Muraba Veil Sale Summary'!F:F))</f>
        <v>2880.5300621440001</v>
      </c>
      <c r="G129" s="169">
        <f>IF(Table2[[#This Row],[Unit ]]="","",_xlfn.XLOOKUP(Table2[[#This Row],[Type]],'Muraba Veil Sale Summary'!$A:$A,'Muraba Veil Sale Summary'!G:G))</f>
        <v>2058.9207813120001</v>
      </c>
      <c r="H129" s="169">
        <f t="shared" si="9"/>
        <v>4939.4508434560003</v>
      </c>
      <c r="I129" s="170">
        <f>'Launches Residences'!$U$7</f>
        <v>0.3</v>
      </c>
      <c r="J129" s="169">
        <f>IF(Table2[[#This Row],[Unit ]]="","",F129+(G129*Table2[[#This Row],[Terrace Area]]))</f>
        <v>3498.2062965375999</v>
      </c>
      <c r="K129" s="171">
        <f>IF(Table2[[#This Row],[Unit ]]="","",'Launches Residences'!H26)</f>
        <v>5450</v>
      </c>
      <c r="L129" s="171">
        <v>19065224.316129919</v>
      </c>
      <c r="M129" s="172">
        <f>Table2[[#This Row],[Price/Sq.ft]]</f>
        <v>5450</v>
      </c>
      <c r="N129" s="8" t="e">
        <f>VLOOKUP(Table2[[#This Row],[Unit ]],'[1]Muraba Unit Wise Details '!$C$4:$L$67,10,FALSE)</f>
        <v>#N/A</v>
      </c>
      <c r="O129" s="8" t="e">
        <f>Table2[[#This Row],[Column2]]-Table2[[#This Row],[Price]]</f>
        <v>#N/A</v>
      </c>
      <c r="P129" s="8">
        <f>Table2[[#This Row],[Price]]/Table2[[#This Row],[Total Area
(Sq.ft)]]</f>
        <v>3859.7862232779094</v>
      </c>
      <c r="Q129" s="162">
        <f>Table2[[#This Row],[Price]]/Table2[[#This Row],[Sellable Area
(Sq. ft)]]</f>
        <v>5450</v>
      </c>
      <c r="R129" s="209"/>
      <c r="S129" s="183"/>
      <c r="T129" s="183"/>
      <c r="U129" s="160"/>
      <c r="AE129" s="183"/>
      <c r="AF129" s="12"/>
      <c r="AG129" s="11"/>
      <c r="AH129" s="9"/>
    </row>
    <row r="130" spans="1:34" ht="16.5" x14ac:dyDescent="0.35">
      <c r="A130" s="173" t="str">
        <f>IF(Table2[[#This Row],[Unit ]]="","","3 Bedroom")</f>
        <v>3 Bedroom</v>
      </c>
      <c r="B130" s="166" t="s">
        <v>19</v>
      </c>
      <c r="C130" s="165">
        <v>1601</v>
      </c>
      <c r="D130" s="167" t="s">
        <v>41</v>
      </c>
      <c r="E130" s="168">
        <f>IF(Table2[[#This Row],[Unit ]]="","",_xlfn.XLOOKUP(Table2[[#This Row],[Type]],'Muraba Veil Sale Summary'!A:A,'Muraba Veil Sale Summary'!P:P))</f>
        <v>2</v>
      </c>
      <c r="F130" s="169">
        <f>IF(Table2[[#This Row],[Unit ]]="","",_xlfn.XLOOKUP(Table2[[#This Row],[Type]],'Muraba Veil Sale Summary'!$A:$A,'Muraba Veil Sale Summary'!F:F))</f>
        <v>2880.5300621440001</v>
      </c>
      <c r="G130" s="169">
        <f>IF(Table2[[#This Row],[Unit ]]="","",_xlfn.XLOOKUP(Table2[[#This Row],[Type]],'Muraba Veil Sale Summary'!$A:$A,'Muraba Veil Sale Summary'!G:G))</f>
        <v>2058.9207813120001</v>
      </c>
      <c r="H130" s="169">
        <f t="shared" ref="H130:H176" si="15">IFERROR(F130+G130,0)</f>
        <v>4939.4508434560003</v>
      </c>
      <c r="I130" s="170">
        <f>'Launches Residences'!$U$7</f>
        <v>0.3</v>
      </c>
      <c r="J130" s="169">
        <f>IF(Table2[[#This Row],[Unit ]]="","",F130+(G130*Table2[[#This Row],[Terrace Area]]))</f>
        <v>3498.2062965375999</v>
      </c>
      <c r="K130" s="171">
        <f>IF(Table2[[#This Row],[Unit ]]="","",'Launches Residences'!H27)</f>
        <v>5550</v>
      </c>
      <c r="L130" s="171">
        <v>19415044.945783678</v>
      </c>
      <c r="M130" s="172">
        <f>Table2[[#This Row],[Price/Sq.ft]]</f>
        <v>5550</v>
      </c>
      <c r="N130" s="8" t="e">
        <f>VLOOKUP(Table2[[#This Row],[Unit ]],'[1]Muraba Unit Wise Details '!$C$4:$L$67,10,FALSE)</f>
        <v>#N/A</v>
      </c>
      <c r="O130" s="8" t="e">
        <f>Table2[[#This Row],[Column2]]-Table2[[#This Row],[Price]]</f>
        <v>#N/A</v>
      </c>
      <c r="P130" s="8">
        <f>Table2[[#This Row],[Price]]/Table2[[#This Row],[Total Area
(Sq.ft)]]</f>
        <v>3930.6079888426416</v>
      </c>
      <c r="Q130" s="162">
        <f>Table2[[#This Row],[Price]]/Table2[[#This Row],[Sellable Area
(Sq. ft)]]</f>
        <v>5550</v>
      </c>
      <c r="R130" s="209"/>
      <c r="S130" s="183"/>
      <c r="T130" s="183"/>
      <c r="U130" s="160"/>
      <c r="AE130" s="183"/>
      <c r="AF130" s="12"/>
      <c r="AG130" s="11"/>
      <c r="AH130" s="9"/>
    </row>
    <row r="131" spans="1:34" ht="16.5" x14ac:dyDescent="0.35">
      <c r="A131" s="173" t="str">
        <f>IF(Table2[[#This Row],[Unit ]]="","","3 Bedroom")</f>
        <v>3 Bedroom</v>
      </c>
      <c r="B131" s="166" t="s">
        <v>19</v>
      </c>
      <c r="C131" s="165">
        <v>1701</v>
      </c>
      <c r="D131" s="167" t="s">
        <v>42</v>
      </c>
      <c r="E131" s="168">
        <f>IF(Table2[[#This Row],[Unit ]]="","",_xlfn.XLOOKUP(Table2[[#This Row],[Type]],'Muraba Veil Sale Summary'!A:A,'Muraba Veil Sale Summary'!P:P))</f>
        <v>2</v>
      </c>
      <c r="F131" s="169">
        <f>IF(Table2[[#This Row],[Unit ]]="","",_xlfn.XLOOKUP(Table2[[#This Row],[Type]],'Muraba Veil Sale Summary'!$A:$A,'Muraba Veil Sale Summary'!F:F))</f>
        <v>2880.5300621440001</v>
      </c>
      <c r="G131" s="169">
        <f>IF(Table2[[#This Row],[Unit ]]="","",_xlfn.XLOOKUP(Table2[[#This Row],[Type]],'Muraba Veil Sale Summary'!$A:$A,'Muraba Veil Sale Summary'!G:G))</f>
        <v>2058.9207813120001</v>
      </c>
      <c r="H131" s="169">
        <f t="shared" si="15"/>
        <v>4939.4508434560003</v>
      </c>
      <c r="I131" s="170">
        <f>'Launches Residences'!$U$7</f>
        <v>0.3</v>
      </c>
      <c r="J131" s="169">
        <f>IF(Table2[[#This Row],[Unit ]]="","",F131+(G131*Table2[[#This Row],[Terrace Area]]))</f>
        <v>3498.2062965375999</v>
      </c>
      <c r="K131" s="171">
        <f>IF(Table2[[#This Row],[Unit ]]="","",'Launches Residences'!H28)</f>
        <v>5502.820122144587</v>
      </c>
      <c r="L131" s="171">
        <v>19250000</v>
      </c>
      <c r="M131" s="172">
        <f>Table2[[#This Row],[Price/Sq.ft]]</f>
        <v>5502.820122144587</v>
      </c>
      <c r="N131" s="8" t="e">
        <f>VLOOKUP(Table2[[#This Row],[Unit ]],'[1]Muraba Unit Wise Details '!$C$4:$L$67,10,FALSE)</f>
        <v>#N/A</v>
      </c>
      <c r="O131" s="8" t="e">
        <f>Table2[[#This Row],[Column2]]-Table2[[#This Row],[Price]]</f>
        <v>#N/A</v>
      </c>
      <c r="P131" s="8">
        <f>Table2[[#This Row],[Price]]/Table2[[#This Row],[Total Area
(Sq.ft)]]</f>
        <v>3897.1943663541542</v>
      </c>
      <c r="Q131" s="162">
        <f>Table2[[#This Row],[Price]]/Table2[[#This Row],[Sellable Area
(Sq. ft)]]</f>
        <v>5502.820122144587</v>
      </c>
      <c r="R131" s="209"/>
      <c r="S131" s="183"/>
      <c r="T131" s="183"/>
      <c r="U131" s="160"/>
      <c r="AE131" s="183"/>
      <c r="AF131" s="12"/>
      <c r="AG131" s="11"/>
      <c r="AH131" s="9"/>
    </row>
    <row r="132" spans="1:34" ht="16.5" x14ac:dyDescent="0.35">
      <c r="A132" s="157" t="str">
        <f>IF(Table2[[#This Row],[Unit ]]="","","3 Bedroom")</f>
        <v>3 Bedroom</v>
      </c>
      <c r="B132" s="158" t="s">
        <v>21</v>
      </c>
      <c r="C132" s="159">
        <v>1801</v>
      </c>
      <c r="D132" s="160" t="s">
        <v>43</v>
      </c>
      <c r="E132" s="161">
        <f>IF(Table2[[#This Row],[Unit ]]="","",_xlfn.XLOOKUP(Table2[[#This Row],[Type]],'Muraba Veil Sale Summary'!A:A,'Muraba Veil Sale Summary'!P:P))</f>
        <v>2</v>
      </c>
      <c r="F132" s="162">
        <f>IF(Table2[[#This Row],[Unit ]]="","",_xlfn.XLOOKUP(Table2[[#This Row],[Type]],'Muraba Veil Sale Summary'!$A:$A,'Muraba Veil Sale Summary'!F:F))</f>
        <v>2880.5300621440001</v>
      </c>
      <c r="G132" s="162">
        <f>IF(Table2[[#This Row],[Unit ]]="","",_xlfn.XLOOKUP(Table2[[#This Row],[Type]],'Muraba Veil Sale Summary'!$A:$A,'Muraba Veil Sale Summary'!G:G))</f>
        <v>2058.9207813120001</v>
      </c>
      <c r="H132" s="162">
        <f t="shared" si="15"/>
        <v>4939.4508434560003</v>
      </c>
      <c r="I132" s="163">
        <f>'Launches Residences'!$U$7</f>
        <v>0.3</v>
      </c>
      <c r="J132" s="162">
        <f>IF(Table2[[#This Row],[Unit ]]="","",F132+(G132*Table2[[#This Row],[Terrace Area]]))</f>
        <v>3498.2062965375999</v>
      </c>
      <c r="K132" s="8">
        <f>IF(Table2[[#This Row],[Unit ]]="","",'Launches Residences'!H29)</f>
        <v>6450</v>
      </c>
      <c r="L132" s="8">
        <f t="shared" ref="L132:L133" si="16">IFERROR(J132*K132,0)</f>
        <v>22563430.61266752</v>
      </c>
      <c r="M132" s="3">
        <f>Table2[[#This Row],[Price/Sq.ft]]</f>
        <v>6450</v>
      </c>
      <c r="N132" s="8" t="e">
        <f>VLOOKUP(Table2[[#This Row],[Unit ]],'[1]Muraba Unit Wise Details '!$C$4:$L$67,10,FALSE)</f>
        <v>#N/A</v>
      </c>
      <c r="O132" s="8" t="e">
        <f>Table2[[#This Row],[Column2]]-Table2[[#This Row],[Price]]</f>
        <v>#N/A</v>
      </c>
      <c r="P132" s="8">
        <f>Table2[[#This Row],[Price]]/Table2[[#This Row],[Total Area
(Sq.ft)]]</f>
        <v>4568.0038789252321</v>
      </c>
      <c r="Q132" s="162">
        <f>Table2[[#This Row],[Price]]/Table2[[#This Row],[Sellable Area
(Sq. ft)]]</f>
        <v>6450</v>
      </c>
      <c r="R132" s="209"/>
      <c r="S132" s="183"/>
      <c r="T132" s="183"/>
      <c r="U132" s="160"/>
      <c r="AE132" s="183"/>
      <c r="AF132" s="12"/>
      <c r="AG132" s="11"/>
      <c r="AH132" s="9"/>
    </row>
    <row r="133" spans="1:34" ht="17" thickBot="1" x14ac:dyDescent="0.4">
      <c r="A133" s="157" t="str">
        <f>IF(Table2[[#This Row],[Unit ]]="","","3 Bedroom")</f>
        <v>3 Bedroom</v>
      </c>
      <c r="B133" s="158" t="s">
        <v>36</v>
      </c>
      <c r="C133" s="159">
        <v>1901</v>
      </c>
      <c r="D133" s="160" t="s">
        <v>44</v>
      </c>
      <c r="E133" s="161">
        <f>IF(Table2[[#This Row],[Unit ]]="","",_xlfn.XLOOKUP(Table2[[#This Row],[Type]],'Muraba Veil Sale Summary'!A:A,'Muraba Veil Sale Summary'!P:P))</f>
        <v>2</v>
      </c>
      <c r="F133" s="162">
        <f>IF(Table2[[#This Row],[Unit ]]="","",_xlfn.XLOOKUP(Table2[[#This Row],[Type]],'Muraba Veil Sale Summary'!$A:$A,'Muraba Veil Sale Summary'!F:F))</f>
        <v>2880.5300621440001</v>
      </c>
      <c r="G133" s="162">
        <f>IF(Table2[[#This Row],[Unit ]]="","",_xlfn.XLOOKUP(Table2[[#This Row],[Type]],'Muraba Veil Sale Summary'!$A:$A,'Muraba Veil Sale Summary'!G:G))</f>
        <v>2058.9207813120001</v>
      </c>
      <c r="H133" s="162">
        <f t="shared" si="15"/>
        <v>4939.4508434560003</v>
      </c>
      <c r="I133" s="163">
        <f>'Launches Residences'!$U$7</f>
        <v>0.3</v>
      </c>
      <c r="J133" s="162">
        <f>IF(Table2[[#This Row],[Unit ]]="","",F133+(G133*Table2[[#This Row],[Terrace Area]]))</f>
        <v>3498.2062965375999</v>
      </c>
      <c r="K133" s="8">
        <f>IF(Table2[[#This Row],[Unit ]]="","",'Launches Residences'!H30)</f>
        <v>6600</v>
      </c>
      <c r="L133" s="8">
        <f t="shared" si="16"/>
        <v>23088161.557148159</v>
      </c>
      <c r="M133" s="3">
        <f>Table2[[#This Row],[Price/Sq.ft]]</f>
        <v>6600</v>
      </c>
      <c r="N133" s="8" t="e">
        <f>VLOOKUP(Table2[[#This Row],[Unit ]],'[1]Muraba Unit Wise Details '!$C$4:$L$67,10,FALSE)</f>
        <v>#N/A</v>
      </c>
      <c r="O133" s="8" t="e">
        <f>Table2[[#This Row],[Column2]]-Table2[[#This Row],[Price]]</f>
        <v>#N/A</v>
      </c>
      <c r="P133" s="8">
        <f>Table2[[#This Row],[Price]]/Table2[[#This Row],[Total Area
(Sq.ft)]]</f>
        <v>4674.2365272723309</v>
      </c>
      <c r="Q133" s="162">
        <f>Table2[[#This Row],[Price]]/Table2[[#This Row],[Sellable Area
(Sq. ft)]]</f>
        <v>6600</v>
      </c>
      <c r="R133" s="209"/>
      <c r="S133" s="183"/>
      <c r="T133" s="183"/>
      <c r="U133" s="188"/>
      <c r="AE133" s="183"/>
      <c r="AF133" s="12"/>
      <c r="AG133" s="11"/>
      <c r="AH133" s="9"/>
    </row>
    <row r="134" spans="1:34" ht="17" thickTop="1" x14ac:dyDescent="0.35">
      <c r="A134" s="173" t="str">
        <f>IF(Table2[[#This Row],[Unit ]]="","","3 Bedroom")</f>
        <v>3 Bedroom</v>
      </c>
      <c r="B134" s="166" t="s">
        <v>19</v>
      </c>
      <c r="C134" s="165">
        <v>2001</v>
      </c>
      <c r="D134" s="167" t="s">
        <v>45</v>
      </c>
      <c r="E134" s="168">
        <f>IF(Table2[[#This Row],[Unit ]]="","",_xlfn.XLOOKUP(Table2[[#This Row],[Type]],'Muraba Veil Sale Summary'!A:A,'Muraba Veil Sale Summary'!P:P))</f>
        <v>2</v>
      </c>
      <c r="F134" s="169">
        <f>IF(Table2[[#This Row],[Unit ]]="","",_xlfn.XLOOKUP(Table2[[#This Row],[Type]],'Muraba Veil Sale Summary'!$A:$A,'Muraba Veil Sale Summary'!F:F))</f>
        <v>2880.5300621440001</v>
      </c>
      <c r="G134" s="169">
        <f>IF(Table2[[#This Row],[Unit ]]="","",_xlfn.XLOOKUP(Table2[[#This Row],[Type]],'Muraba Veil Sale Summary'!$A:$A,'Muraba Veil Sale Summary'!G:G))</f>
        <v>2058.9207813120001</v>
      </c>
      <c r="H134" s="169">
        <f t="shared" si="15"/>
        <v>4939.4508434560003</v>
      </c>
      <c r="I134" s="170">
        <f>'Launches Residences'!$U$7</f>
        <v>0.3</v>
      </c>
      <c r="J134" s="169">
        <f>IF(Table2[[#This Row],[Unit ]]="","",F134+(G134*Table2[[#This Row],[Terrace Area]]))</f>
        <v>3498.2062965375999</v>
      </c>
      <c r="K134" s="171">
        <f>IF(Table2[[#This Row],[Unit ]]="","",'Launches Residences'!H31)</f>
        <v>5949.9998672466172</v>
      </c>
      <c r="L134" s="171">
        <v>20814327</v>
      </c>
      <c r="M134" s="172">
        <f>Table2[[#This Row],[Price/Sq.ft]]</f>
        <v>5949.9998672466172</v>
      </c>
      <c r="N134" s="8" t="e">
        <f>VLOOKUP(Table2[[#This Row],[Unit ]],'[1]Muraba Unit Wise Details '!$C$4:$L$67,10,FALSE)</f>
        <v>#N/A</v>
      </c>
      <c r="O134" s="8" t="e">
        <f>Table2[[#This Row],[Column2]]-Table2[[#This Row],[Price]]</f>
        <v>#N/A</v>
      </c>
      <c r="P134" s="8">
        <f>Table2[[#This Row],[Price]]/Table2[[#This Row],[Total Area
(Sq.ft)]]</f>
        <v>4213.894957083281</v>
      </c>
      <c r="Q134" s="162">
        <f>Table2[[#This Row],[Price]]/Table2[[#This Row],[Sellable Area
(Sq. ft)]]</f>
        <v>5949.9998672466172</v>
      </c>
      <c r="R134" s="209"/>
      <c r="S134" s="183"/>
      <c r="T134" s="183"/>
      <c r="U134" s="160"/>
      <c r="AE134" s="183"/>
      <c r="AF134" s="12"/>
      <c r="AG134" s="11"/>
      <c r="AH134" s="9"/>
    </row>
    <row r="135" spans="1:34" ht="17" thickBot="1" x14ac:dyDescent="0.4">
      <c r="A135" s="157" t="str">
        <f>IF(Table2[[#This Row],[Unit ]]="","","3 Bedroom")</f>
        <v>3 Bedroom</v>
      </c>
      <c r="B135" s="158" t="s">
        <v>21</v>
      </c>
      <c r="C135" s="159">
        <v>2101</v>
      </c>
      <c r="D135" s="160" t="s">
        <v>46</v>
      </c>
      <c r="E135" s="161">
        <f>IF(Table2[[#This Row],[Unit ]]="","",_xlfn.XLOOKUP(Table2[[#This Row],[Type]],'Muraba Veil Sale Summary'!A:A,'Muraba Veil Sale Summary'!P:P))</f>
        <v>2</v>
      </c>
      <c r="F135" s="162">
        <f>IF(Table2[[#This Row],[Unit ]]="","",_xlfn.XLOOKUP(Table2[[#This Row],[Type]],'Muraba Veil Sale Summary'!$A:$A,'Muraba Veil Sale Summary'!F:F))</f>
        <v>2880.5300621440001</v>
      </c>
      <c r="G135" s="162">
        <f>IF(Table2[[#This Row],[Unit ]]="","",_xlfn.XLOOKUP(Table2[[#This Row],[Type]],'Muraba Veil Sale Summary'!$A:$A,'Muraba Veil Sale Summary'!G:G))</f>
        <v>2058.9207813120001</v>
      </c>
      <c r="H135" s="162">
        <f t="shared" si="15"/>
        <v>4939.4508434560003</v>
      </c>
      <c r="I135" s="163">
        <f>'Launches Residences'!$U$7</f>
        <v>0.3</v>
      </c>
      <c r="J135" s="162">
        <f>IF(Table2[[#This Row],[Unit ]]="","",F135+(G135*Table2[[#This Row],[Terrace Area]]))</f>
        <v>3498.2062965375999</v>
      </c>
      <c r="K135" s="8">
        <f>IF(Table2[[#This Row],[Unit ]]="","",'Launches Residences'!H32)</f>
        <v>6900</v>
      </c>
      <c r="L135" s="8">
        <f t="shared" ref="L135:L137" si="17">IFERROR(J135*K135,0)</f>
        <v>24137623.44610944</v>
      </c>
      <c r="M135" s="3">
        <f>Table2[[#This Row],[Price/Sq.ft]]</f>
        <v>6900</v>
      </c>
      <c r="N135" s="8" t="e">
        <f>VLOOKUP(Table2[[#This Row],[Unit ]],'[1]Muraba Unit Wise Details '!$C$4:$L$67,10,FALSE)</f>
        <v>#N/A</v>
      </c>
      <c r="O135" s="8" t="e">
        <f>Table2[[#This Row],[Column2]]-Table2[[#This Row],[Price]]</f>
        <v>#N/A</v>
      </c>
      <c r="P135" s="8">
        <f>Table2[[#This Row],[Price]]/Table2[[#This Row],[Total Area
(Sq.ft)]]</f>
        <v>4886.7018239665276</v>
      </c>
      <c r="Q135" s="162">
        <f>Table2[[#This Row],[Price]]/Table2[[#This Row],[Sellable Area
(Sq. ft)]]</f>
        <v>6900</v>
      </c>
      <c r="R135" s="209"/>
      <c r="S135" s="183"/>
      <c r="T135" s="183"/>
      <c r="U135" s="188"/>
      <c r="AE135" s="183"/>
      <c r="AF135" s="12"/>
      <c r="AG135" s="11"/>
      <c r="AH135" s="9"/>
    </row>
    <row r="136" spans="1:34" ht="17" thickTop="1" x14ac:dyDescent="0.35">
      <c r="A136" s="157" t="str">
        <f>IF(Table2[[#This Row],[Unit ]]="","","3 Bedroom")</f>
        <v>3 Bedroom</v>
      </c>
      <c r="B136" s="158" t="s">
        <v>21</v>
      </c>
      <c r="C136" s="159">
        <v>2201</v>
      </c>
      <c r="D136" s="160" t="s">
        <v>47</v>
      </c>
      <c r="E136" s="161">
        <f>IF(Table2[[#This Row],[Unit ]]="","",_xlfn.XLOOKUP(Table2[[#This Row],[Type]],'Muraba Veil Sale Summary'!A:A,'Muraba Veil Sale Summary'!P:P))</f>
        <v>2</v>
      </c>
      <c r="F136" s="162">
        <f>IF(Table2[[#This Row],[Unit ]]="","",_xlfn.XLOOKUP(Table2[[#This Row],[Type]],'Muraba Veil Sale Summary'!$A:$A,'Muraba Veil Sale Summary'!F:F))</f>
        <v>2880.5300621440001</v>
      </c>
      <c r="G136" s="162">
        <f>IF(Table2[[#This Row],[Unit ]]="","",_xlfn.XLOOKUP(Table2[[#This Row],[Type]],'Muraba Veil Sale Summary'!$A:$A,'Muraba Veil Sale Summary'!G:G))</f>
        <v>2058.9207813120001</v>
      </c>
      <c r="H136" s="162">
        <f t="shared" si="15"/>
        <v>4939.4508434560003</v>
      </c>
      <c r="I136" s="163">
        <f>'Launches Residences'!$U$7</f>
        <v>0.3</v>
      </c>
      <c r="J136" s="162">
        <f>IF(Table2[[#This Row],[Unit ]]="","",F136+(G136*Table2[[#This Row],[Terrace Area]]))</f>
        <v>3498.2062965375999</v>
      </c>
      <c r="K136" s="8">
        <f>IF(Table2[[#This Row],[Unit ]]="","",'Launches Residences'!H33)</f>
        <v>7050</v>
      </c>
      <c r="L136" s="8">
        <f t="shared" si="17"/>
        <v>24662354.390590079</v>
      </c>
      <c r="M136" s="3">
        <f>Table2[[#This Row],[Price/Sq.ft]]</f>
        <v>7050</v>
      </c>
      <c r="N136" s="8" t="e">
        <f>VLOOKUP(Table2[[#This Row],[Unit ]],'[1]Muraba Unit Wise Details '!$C$4:$L$67,10,FALSE)</f>
        <v>#N/A</v>
      </c>
      <c r="O136" s="8" t="e">
        <f>Table2[[#This Row],[Column2]]-Table2[[#This Row],[Price]]</f>
        <v>#N/A</v>
      </c>
      <c r="P136" s="162">
        <f>Table2[[#This Row],[Price]]/Table2[[#This Row],[Total Area
(Sq.ft)]]</f>
        <v>4992.9344723136255</v>
      </c>
      <c r="Q136" s="162">
        <f>Table2[[#This Row],[Price]]/Table2[[#This Row],[Sellable Area
(Sq. ft)]]</f>
        <v>7050</v>
      </c>
      <c r="R136" s="162"/>
      <c r="S136" s="162"/>
      <c r="U136" s="183"/>
      <c r="V136" s="183"/>
    </row>
    <row r="137" spans="1:34" ht="16.5" x14ac:dyDescent="0.35">
      <c r="A137" s="157" t="str">
        <f>IF(Table2[[#This Row],[Unit ]]="","","3 Bedroom")</f>
        <v>3 Bedroom</v>
      </c>
      <c r="B137" s="158" t="s">
        <v>36</v>
      </c>
      <c r="C137" s="159">
        <v>2301</v>
      </c>
      <c r="D137" s="160" t="s">
        <v>48</v>
      </c>
      <c r="E137" s="161">
        <f>IF(Table2[[#This Row],[Unit ]]="","",_xlfn.XLOOKUP(Table2[[#This Row],[Type]],'Muraba Veil Sale Summary'!A:A,'Muraba Veil Sale Summary'!P:P))</f>
        <v>2</v>
      </c>
      <c r="F137" s="162">
        <f>IF(Table2[[#This Row],[Unit ]]="","",_xlfn.XLOOKUP(Table2[[#This Row],[Type]],'Muraba Veil Sale Summary'!$A:$A,'Muraba Veil Sale Summary'!F:F))</f>
        <v>2880.5300621440001</v>
      </c>
      <c r="G137" s="162">
        <f>IF(Table2[[#This Row],[Unit ]]="","",_xlfn.XLOOKUP(Table2[[#This Row],[Type]],'Muraba Veil Sale Summary'!$A:$A,'Muraba Veil Sale Summary'!G:G))</f>
        <v>2058.9207813120001</v>
      </c>
      <c r="H137" s="162">
        <f t="shared" si="15"/>
        <v>4939.4508434560003</v>
      </c>
      <c r="I137" s="163">
        <f>'Launches Residences'!$U$7</f>
        <v>0.3</v>
      </c>
      <c r="J137" s="162">
        <f>IF(Table2[[#This Row],[Unit ]]="","",F137+(G137*Table2[[#This Row],[Terrace Area]]))</f>
        <v>3498.2062965375999</v>
      </c>
      <c r="K137" s="8">
        <f>IF(Table2[[#This Row],[Unit ]]="","",'Launches Residences'!H34)</f>
        <v>7200</v>
      </c>
      <c r="L137" s="8">
        <f t="shared" si="17"/>
        <v>25187085.335070718</v>
      </c>
      <c r="M137" s="3">
        <f>Table2[[#This Row],[Price/Sq.ft]]</f>
        <v>7200</v>
      </c>
      <c r="N137" s="8" t="e">
        <f>VLOOKUP(Table2[[#This Row],[Unit ]],'[1]Muraba Unit Wise Details '!$C$4:$L$67,10,FALSE)</f>
        <v>#N/A</v>
      </c>
      <c r="O137" s="8" t="e">
        <f>Table2[[#This Row],[Column2]]-Table2[[#This Row],[Price]]</f>
        <v>#N/A</v>
      </c>
      <c r="P137" s="162">
        <f>Table2[[#This Row],[Price]]/Table2[[#This Row],[Total Area
(Sq.ft)]]</f>
        <v>5099.1671206607243</v>
      </c>
      <c r="Q137" s="162">
        <f>Table2[[#This Row],[Price]]/Table2[[#This Row],[Sellable Area
(Sq. ft)]]</f>
        <v>7200</v>
      </c>
      <c r="R137" s="162"/>
      <c r="S137" s="162"/>
      <c r="T137" s="162"/>
      <c r="U137" s="162"/>
      <c r="W137" s="183"/>
      <c r="X137" s="183"/>
    </row>
    <row r="138" spans="1:34" ht="16.5" x14ac:dyDescent="0.35">
      <c r="A138" s="173" t="str">
        <f>IF(Table2[[#This Row],[Unit ]]="","","3 Bedroom")</f>
        <v>3 Bedroom</v>
      </c>
      <c r="B138" s="166" t="s">
        <v>19</v>
      </c>
      <c r="C138" s="165">
        <v>2401</v>
      </c>
      <c r="D138" s="167" t="s">
        <v>49</v>
      </c>
      <c r="E138" s="168">
        <f>IF(Table2[[#This Row],[Unit ]]="","",_xlfn.XLOOKUP(Table2[[#This Row],[Type]],'Muraba Veil Sale Summary'!A:A,'Muraba Veil Sale Summary'!P:P))</f>
        <v>2</v>
      </c>
      <c r="F138" s="169">
        <f>IF(Table2[[#This Row],[Unit ]]="","",_xlfn.XLOOKUP(Table2[[#This Row],[Type]],'Muraba Veil Sale Summary'!$A:$A,'Muraba Veil Sale Summary'!F:F))</f>
        <v>2880.5300621440001</v>
      </c>
      <c r="G138" s="169">
        <f>IF(Table2[[#This Row],[Unit ]]="","",_xlfn.XLOOKUP(Table2[[#This Row],[Type]],'Muraba Veil Sale Summary'!$A:$A,'Muraba Veil Sale Summary'!G:G))</f>
        <v>2058.9207813120001</v>
      </c>
      <c r="H138" s="169">
        <f t="shared" si="15"/>
        <v>4939.4508434560003</v>
      </c>
      <c r="I138" s="170">
        <f>'Launches Residences'!$U$7</f>
        <v>0.3</v>
      </c>
      <c r="J138" s="169">
        <f>IF(Table2[[#This Row],[Unit ]]="","",F138+(G138*Table2[[#This Row],[Terrace Area]]))</f>
        <v>3498.2062965375999</v>
      </c>
      <c r="K138" s="171">
        <f>IF(Table2[[#This Row],[Unit ]]="","",'Launches Residences'!H35)</f>
        <v>7492.7765197675708</v>
      </c>
      <c r="L138" s="171">
        <v>26211278</v>
      </c>
      <c r="M138" s="172">
        <f>Table2[[#This Row],[Price/Sq.ft]]</f>
        <v>7492.7765197675708</v>
      </c>
      <c r="N138" s="8" t="e">
        <f>VLOOKUP(Table2[[#This Row],[Unit ]],'[1]Muraba Unit Wise Details '!$C$4:$L$67,10,FALSE)</f>
        <v>#N/A</v>
      </c>
      <c r="O138" s="8" t="e">
        <f>Table2[[#This Row],[Column2]]-Table2[[#This Row],[Price]]</f>
        <v>#N/A</v>
      </c>
      <c r="P138" s="162">
        <f>Table2[[#This Row],[Price]]/Table2[[#This Row],[Total Area
(Sq.ft)]]</f>
        <v>5306.5166211190954</v>
      </c>
      <c r="Q138" s="162">
        <f>Table2[[#This Row],[Price]]/Table2[[#This Row],[Sellable Area
(Sq. ft)]]</f>
        <v>7492.7765197675708</v>
      </c>
      <c r="R138" s="162"/>
      <c r="S138" s="162"/>
      <c r="T138" s="162"/>
      <c r="U138" s="162"/>
      <c r="W138" s="183"/>
      <c r="X138" s="183"/>
    </row>
    <row r="139" spans="1:34" ht="16.5" x14ac:dyDescent="0.35">
      <c r="A139" s="173" t="str">
        <f>IF(Table2[[#This Row],[Unit ]]="","","3 Bedroom")</f>
        <v>3 Bedroom</v>
      </c>
      <c r="B139" s="166" t="s">
        <v>19</v>
      </c>
      <c r="C139" s="165">
        <v>2501</v>
      </c>
      <c r="D139" s="167" t="s">
        <v>50</v>
      </c>
      <c r="E139" s="168">
        <f>IF(Table2[[#This Row],[Unit ]]="","",_xlfn.XLOOKUP(Table2[[#This Row],[Type]],'Muraba Veil Sale Summary'!A:A,'Muraba Veil Sale Summary'!P:P))</f>
        <v>2</v>
      </c>
      <c r="F139" s="169">
        <f>IF(Table2[[#This Row],[Unit ]]="","",_xlfn.XLOOKUP(Table2[[#This Row],[Type]],'Muraba Veil Sale Summary'!$A:$A,'Muraba Veil Sale Summary'!F:F))</f>
        <v>2880.5300621440001</v>
      </c>
      <c r="G139" s="169">
        <f>IF(Table2[[#This Row],[Unit ]]="","",_xlfn.XLOOKUP(Table2[[#This Row],[Type]],'Muraba Veil Sale Summary'!$A:$A,'Muraba Veil Sale Summary'!G:G))</f>
        <v>2058.9207813120001</v>
      </c>
      <c r="H139" s="169">
        <f t="shared" si="15"/>
        <v>4939.4508434560003</v>
      </c>
      <c r="I139" s="170">
        <f>'Launches Residences'!$U$7</f>
        <v>0.3</v>
      </c>
      <c r="J139" s="169">
        <f>IF(Table2[[#This Row],[Unit ]]="","",F139+(G139*Table2[[#This Row],[Terrace Area]]))</f>
        <v>3498.2062965375999</v>
      </c>
      <c r="K139" s="171">
        <f>IF(Table2[[#This Row],[Unit ]]="","",'Launches Residences'!H36)</f>
        <v>7950</v>
      </c>
      <c r="L139" s="171">
        <v>27810740.05747392</v>
      </c>
      <c r="M139" s="172">
        <f>Table2[[#This Row],[Price/Sq.ft]]</f>
        <v>7950</v>
      </c>
      <c r="N139" s="8" t="e">
        <f>VLOOKUP(Table2[[#This Row],[Unit ]],'[1]Muraba Unit Wise Details '!$C$4:$L$67,10,FALSE)</f>
        <v>#N/A</v>
      </c>
      <c r="O139" s="8" t="e">
        <f>Table2[[#This Row],[Column2]]-Table2[[#This Row],[Price]]</f>
        <v>#N/A</v>
      </c>
      <c r="P139" s="162">
        <f>Table2[[#This Row],[Price]]/Table2[[#This Row],[Total Area
(Sq.ft)]]</f>
        <v>5630.3303623962165</v>
      </c>
      <c r="Q139" s="162">
        <f>Table2[[#This Row],[Price]]/Table2[[#This Row],[Sellable Area
(Sq. ft)]]</f>
        <v>7950</v>
      </c>
      <c r="R139" s="162"/>
      <c r="S139" s="162"/>
      <c r="T139" s="162"/>
      <c r="U139" s="162"/>
      <c r="W139" s="183"/>
      <c r="X139" s="183"/>
    </row>
    <row r="140" spans="1:34" ht="16.5" x14ac:dyDescent="0.35">
      <c r="A140" s="173" t="str">
        <f>IF(Table2[[#This Row],[Unit ]]="","","3 Bedroom")</f>
        <v>3 Bedroom</v>
      </c>
      <c r="B140" s="166" t="s">
        <v>19</v>
      </c>
      <c r="C140" s="165">
        <v>2601</v>
      </c>
      <c r="D140" s="167" t="s">
        <v>51</v>
      </c>
      <c r="E140" s="168">
        <f>IF(Table2[[#This Row],[Unit ]]="","",_xlfn.XLOOKUP(Table2[[#This Row],[Type]],'Muraba Veil Sale Summary'!A:A,'Muraba Veil Sale Summary'!P:P))</f>
        <v>2</v>
      </c>
      <c r="F140" s="169">
        <f>IF(Table2[[#This Row],[Unit ]]="","",_xlfn.XLOOKUP(Table2[[#This Row],[Type]],'Muraba Veil Sale Summary'!$A:$A,'Muraba Veil Sale Summary'!F:F))</f>
        <v>2880.5300621440001</v>
      </c>
      <c r="G140" s="169">
        <f>IF(Table2[[#This Row],[Unit ]]="","",_xlfn.XLOOKUP(Table2[[#This Row],[Type]],'Muraba Veil Sale Summary'!$A:$A,'Muraba Veil Sale Summary'!G:G))</f>
        <v>2058.9207813120001</v>
      </c>
      <c r="H140" s="169">
        <f t="shared" si="15"/>
        <v>4939.4508434560003</v>
      </c>
      <c r="I140" s="170">
        <f>'Launches Residences'!$U$7</f>
        <v>0.3</v>
      </c>
      <c r="J140" s="169">
        <f>IF(Table2[[#This Row],[Unit ]]="","",F140+(G140*Table2[[#This Row],[Terrace Area]]))</f>
        <v>3498.2062965375999</v>
      </c>
      <c r="K140" s="171">
        <f>IF(Table2[[#This Row],[Unit ]]="","",'Launches Residences'!H37)</f>
        <v>6549.9999307298485</v>
      </c>
      <c r="L140" s="171">
        <v>22913251</v>
      </c>
      <c r="M140" s="172">
        <f>Table2[[#This Row],[Price/Sq.ft]]</f>
        <v>6549.9999307298485</v>
      </c>
      <c r="N140" s="8" t="e">
        <f>VLOOKUP(Table2[[#This Row],[Unit ]],'[1]Muraba Unit Wise Details '!$C$4:$L$67,10,FALSE)</f>
        <v>#N/A</v>
      </c>
      <c r="O140" s="8" t="e">
        <f>Table2[[#This Row],[Column2]]-Table2[[#This Row],[Price]]</f>
        <v>#N/A</v>
      </c>
      <c r="P140" s="162">
        <f>Table2[[#This Row],[Price]]/Table2[[#This Row],[Total Area
(Sq.ft)]]</f>
        <v>4638.8255954316201</v>
      </c>
      <c r="Q140" s="162">
        <f>Table2[[#This Row],[Price]]/Table2[[#This Row],[Sellable Area
(Sq. ft)]]</f>
        <v>6549.9999307298485</v>
      </c>
      <c r="R140" s="162"/>
      <c r="S140" s="162"/>
      <c r="T140" s="162"/>
      <c r="U140" s="162"/>
      <c r="W140" s="183"/>
      <c r="X140" s="183"/>
    </row>
    <row r="141" spans="1:34" ht="16.5" x14ac:dyDescent="0.35">
      <c r="A141" s="173" t="str">
        <f>IF(Table2[[#This Row],[Unit ]]="","","3 Bedroom")</f>
        <v>3 Bedroom</v>
      </c>
      <c r="B141" s="166" t="s">
        <v>19</v>
      </c>
      <c r="C141" s="165">
        <v>2701</v>
      </c>
      <c r="D141" s="167" t="s">
        <v>52</v>
      </c>
      <c r="E141" s="168">
        <f>IF(Table2[[#This Row],[Unit ]]="","",_xlfn.XLOOKUP(Table2[[#This Row],[Type]],'Muraba Veil Sale Summary'!A:A,'Muraba Veil Sale Summary'!P:P))</f>
        <v>2</v>
      </c>
      <c r="F141" s="169">
        <f>IF(Table2[[#This Row],[Unit ]]="","",_xlfn.XLOOKUP(Table2[[#This Row],[Type]],'Muraba Veil Sale Summary'!$A:$A,'Muraba Veil Sale Summary'!F:F))</f>
        <v>2880.5300621440001</v>
      </c>
      <c r="G141" s="169">
        <f>IF(Table2[[#This Row],[Unit ]]="","",_xlfn.XLOOKUP(Table2[[#This Row],[Type]],'Muraba Veil Sale Summary'!$A:$A,'Muraba Veil Sale Summary'!G:G))</f>
        <v>2058.9207813120001</v>
      </c>
      <c r="H141" s="169">
        <f t="shared" si="15"/>
        <v>4939.4508434560003</v>
      </c>
      <c r="I141" s="170">
        <f>'Launches Residences'!$U$7</f>
        <v>0.3</v>
      </c>
      <c r="J141" s="169">
        <f>IF(Table2[[#This Row],[Unit ]]="","",F141+(G141*Table2[[#This Row],[Terrace Area]]))</f>
        <v>3498.2062965375999</v>
      </c>
      <c r="K141" s="171">
        <f>IF(Table2[[#This Row],[Unit ]]="","",'Launches Residences'!H38)</f>
        <v>6650</v>
      </c>
      <c r="L141" s="171">
        <v>23263071.871975038</v>
      </c>
      <c r="M141" s="172">
        <f>Table2[[#This Row],[Price/Sq.ft]]</f>
        <v>6650</v>
      </c>
      <c r="N141" s="8" t="e">
        <f>VLOOKUP(Table2[[#This Row],[Unit ]],'[1]Muraba Unit Wise Details '!$C$4:$L$67,10,FALSE)</f>
        <v>#N/A</v>
      </c>
      <c r="O141" s="8" t="e">
        <f>Table2[[#This Row],[Column2]]-Table2[[#This Row],[Price]]</f>
        <v>#N/A</v>
      </c>
      <c r="P141" s="162">
        <f>Table2[[#This Row],[Price]]/Table2[[#This Row],[Total Area
(Sq.ft)]]</f>
        <v>4709.6474100546966</v>
      </c>
      <c r="Q141" s="162">
        <f>Table2[[#This Row],[Price]]/Table2[[#This Row],[Sellable Area
(Sq. ft)]]</f>
        <v>6650</v>
      </c>
      <c r="R141" s="162"/>
      <c r="S141" s="162"/>
      <c r="T141" s="162"/>
      <c r="U141" s="162"/>
      <c r="W141" s="183"/>
      <c r="X141" s="183"/>
    </row>
    <row r="142" spans="1:34" ht="16.5" x14ac:dyDescent="0.35">
      <c r="A142" s="173" t="str">
        <f>IF(Table2[[#This Row],[Unit ]]="","","3 Bedroom")</f>
        <v>3 Bedroom</v>
      </c>
      <c r="B142" s="166" t="s">
        <v>19</v>
      </c>
      <c r="C142" s="165">
        <v>2801</v>
      </c>
      <c r="D142" s="167" t="s">
        <v>53</v>
      </c>
      <c r="E142" s="168">
        <f>IF(Table2[[#This Row],[Unit ]]="","",_xlfn.XLOOKUP(Table2[[#This Row],[Type]],'Muraba Veil Sale Summary'!A:A,'Muraba Veil Sale Summary'!P:P))</f>
        <v>2</v>
      </c>
      <c r="F142" s="169">
        <f>IF(Table2[[#This Row],[Unit ]]="","",_xlfn.XLOOKUP(Table2[[#This Row],[Type]],'Muraba Veil Sale Summary'!$A:$A,'Muraba Veil Sale Summary'!F:F))</f>
        <v>2880.5300621440001</v>
      </c>
      <c r="G142" s="169">
        <f>IF(Table2[[#This Row],[Unit ]]="","",_xlfn.XLOOKUP(Table2[[#This Row],[Type]],'Muraba Veil Sale Summary'!$A:$A,'Muraba Veil Sale Summary'!G:G))</f>
        <v>2058.9207813120001</v>
      </c>
      <c r="H142" s="169">
        <f t="shared" si="15"/>
        <v>4939.4508434560003</v>
      </c>
      <c r="I142" s="170">
        <f>'Launches Residences'!$U$7</f>
        <v>0.3</v>
      </c>
      <c r="J142" s="169">
        <f>IF(Table2[[#This Row],[Unit ]]="","",F142+(G142*Table2[[#This Row],[Terrace Area]]))</f>
        <v>3498.2062965375999</v>
      </c>
      <c r="K142" s="171">
        <f>IF(Table2[[#This Row],[Unit ]]="","",'Launches Residences'!H39)</f>
        <v>6749.9999999999991</v>
      </c>
      <c r="L142" s="171">
        <v>23612892.501628798</v>
      </c>
      <c r="M142" s="172">
        <f>Table2[[#This Row],[Price/Sq.ft]]</f>
        <v>6749.9999999999991</v>
      </c>
      <c r="N142" s="8" t="e">
        <f>VLOOKUP(Table2[[#This Row],[Unit ]],'[1]Muraba Unit Wise Details '!$C$4:$L$67,10,FALSE)</f>
        <v>#N/A</v>
      </c>
      <c r="O142" s="8" t="e">
        <f>Table2[[#This Row],[Column2]]-Table2[[#This Row],[Price]]</f>
        <v>#N/A</v>
      </c>
      <c r="P142" s="162">
        <f>Table2[[#This Row],[Price]]/Table2[[#This Row],[Total Area
(Sq.ft)]]</f>
        <v>4780.4691756194288</v>
      </c>
      <c r="Q142" s="162">
        <f>Table2[[#This Row],[Price]]/Table2[[#This Row],[Sellable Area
(Sq. ft)]]</f>
        <v>6749.9999999999991</v>
      </c>
      <c r="R142" s="162"/>
      <c r="S142" s="162"/>
      <c r="T142" s="162"/>
      <c r="U142" s="162"/>
      <c r="W142" s="183"/>
      <c r="X142" s="183"/>
    </row>
    <row r="143" spans="1:34" ht="16.5" x14ac:dyDescent="0.35">
      <c r="A143" s="173" t="str">
        <f>IF(Table2[[#This Row],[Unit ]]="","","3 Bedroom")</f>
        <v>3 Bedroom</v>
      </c>
      <c r="B143" s="166" t="s">
        <v>19</v>
      </c>
      <c r="C143" s="165">
        <v>2901</v>
      </c>
      <c r="D143" s="167" t="s">
        <v>54</v>
      </c>
      <c r="E143" s="168">
        <f>IF(Table2[[#This Row],[Unit ]]="","",_xlfn.XLOOKUP(Table2[[#This Row],[Type]],'Muraba Veil Sale Summary'!A:A,'Muraba Veil Sale Summary'!P:P))</f>
        <v>2</v>
      </c>
      <c r="F143" s="169">
        <f>IF(Table2[[#This Row],[Unit ]]="","",_xlfn.XLOOKUP(Table2[[#This Row],[Type]],'Muraba Veil Sale Summary'!$A:$A,'Muraba Veil Sale Summary'!F:F))</f>
        <v>2880.5300621440001</v>
      </c>
      <c r="G143" s="169">
        <f>IF(Table2[[#This Row],[Unit ]]="","",_xlfn.XLOOKUP(Table2[[#This Row],[Type]],'Muraba Veil Sale Summary'!$A:$A,'Muraba Veil Sale Summary'!G:G))</f>
        <v>2058.9207813120001</v>
      </c>
      <c r="H143" s="169">
        <f t="shared" si="15"/>
        <v>4939.4508434560003</v>
      </c>
      <c r="I143" s="170">
        <f>'Launches Residences'!$U$7</f>
        <v>0.3</v>
      </c>
      <c r="J143" s="169">
        <f>IF(Table2[[#This Row],[Unit ]]="","",F143+(G143*Table2[[#This Row],[Terrace Area]]))</f>
        <v>3498.2062965375999</v>
      </c>
      <c r="K143" s="171">
        <f>IF(Table2[[#This Row],[Unit ]]="","",'Launches Residences'!H40)</f>
        <v>6585.1642376838881</v>
      </c>
      <c r="L143" s="171">
        <v>23036263</v>
      </c>
      <c r="M143" s="172">
        <f>Table2[[#This Row],[Price/Sq.ft]]</f>
        <v>6585.1642376838881</v>
      </c>
      <c r="N143" s="8" t="e">
        <f>VLOOKUP(Table2[[#This Row],[Unit ]],'[1]Muraba Unit Wise Details '!$C$4:$L$67,10,FALSE)</f>
        <v>#N/A</v>
      </c>
      <c r="O143" s="8" t="e">
        <f>Table2[[#This Row],[Column2]]-Table2[[#This Row],[Price]]</f>
        <v>#N/A</v>
      </c>
      <c r="P143" s="162">
        <f>Table2[[#This Row],[Price]]/Table2[[#This Row],[Total Area
(Sq.ft)]]</f>
        <v>4663.7295784650723</v>
      </c>
      <c r="Q143" s="162">
        <f>Table2[[#This Row],[Price]]/Table2[[#This Row],[Sellable Area
(Sq. ft)]]</f>
        <v>6585.1642376838881</v>
      </c>
      <c r="R143" s="162"/>
      <c r="S143" s="162"/>
      <c r="T143" s="162"/>
      <c r="U143" s="162"/>
      <c r="W143" s="183"/>
      <c r="X143" s="183"/>
    </row>
    <row r="144" spans="1:34" ht="16.5" x14ac:dyDescent="0.35">
      <c r="A144" s="173" t="str">
        <f>IF(Table2[[#This Row],[Unit ]]="","","3 Bedroom")</f>
        <v>3 Bedroom</v>
      </c>
      <c r="B144" s="166" t="s">
        <v>19</v>
      </c>
      <c r="C144" s="165">
        <v>3001</v>
      </c>
      <c r="D144" s="167" t="s">
        <v>55</v>
      </c>
      <c r="E144" s="168">
        <f>IF(Table2[[#This Row],[Unit ]]="","",_xlfn.XLOOKUP(Table2[[#This Row],[Type]],'Muraba Veil Sale Summary'!A:A,'Muraba Veil Sale Summary'!P:P))</f>
        <v>2</v>
      </c>
      <c r="F144" s="169">
        <f>IF(Table2[[#This Row],[Unit ]]="","",_xlfn.XLOOKUP(Table2[[#This Row],[Type]],'Muraba Veil Sale Summary'!$A:$A,'Muraba Veil Sale Summary'!F:F))</f>
        <v>2880.5300621440001</v>
      </c>
      <c r="G144" s="169">
        <f>IF(Table2[[#This Row],[Unit ]]="","",_xlfn.XLOOKUP(Table2[[#This Row],[Type]],'Muraba Veil Sale Summary'!$A:$A,'Muraba Veil Sale Summary'!G:G))</f>
        <v>2058.9207813120001</v>
      </c>
      <c r="H144" s="169">
        <f t="shared" si="15"/>
        <v>4939.4508434560003</v>
      </c>
      <c r="I144" s="170">
        <f>'Launches Residences'!$U$7</f>
        <v>0.3</v>
      </c>
      <c r="J144" s="169">
        <f>IF(Table2[[#This Row],[Unit ]]="","",F144+(G144*Table2[[#This Row],[Terrace Area]]))</f>
        <v>3498.2062965375999</v>
      </c>
      <c r="K144" s="171">
        <f>IF(Table2[[#This Row],[Unit ]]="","",'Launches Residences'!H41)</f>
        <v>6602.4999791637492</v>
      </c>
      <c r="L144" s="171">
        <v>23096907</v>
      </c>
      <c r="M144" s="172">
        <f>Table2[[#This Row],[Price/Sq.ft]]</f>
        <v>6602.4999791637492</v>
      </c>
      <c r="N144" s="8" t="e">
        <f>VLOOKUP(Table2[[#This Row],[Unit ]],'[1]Muraba Unit Wise Details '!$C$4:$L$67,10,FALSE)</f>
        <v>#N/A</v>
      </c>
      <c r="O144" s="8" t="e">
        <f>Table2[[#This Row],[Column2]]-Table2[[#This Row],[Price]]</f>
        <v>#N/A</v>
      </c>
      <c r="P144" s="162">
        <f>Table2[[#This Row],[Price]]/Table2[[#This Row],[Total Area
(Sq.ft)]]</f>
        <v>4676.0070566548484</v>
      </c>
      <c r="Q144" s="162">
        <f>Table2[[#This Row],[Price]]/Table2[[#This Row],[Sellable Area
(Sq. ft)]]</f>
        <v>6602.4999791637492</v>
      </c>
      <c r="R144" s="162"/>
      <c r="S144" s="162"/>
      <c r="T144" s="162"/>
      <c r="U144" s="162"/>
      <c r="W144" s="183"/>
      <c r="X144" s="183"/>
    </row>
    <row r="145" spans="1:23" x14ac:dyDescent="0.35">
      <c r="A145" s="157" t="str">
        <f>IF(Table2[[#This Row],[Unit ]]="","","3 Bedroom")</f>
        <v>3 Bedroom</v>
      </c>
      <c r="B145" s="158" t="s">
        <v>21</v>
      </c>
      <c r="C145" s="159">
        <f>'Launches Residences'!D42</f>
        <v>3301</v>
      </c>
      <c r="D145" s="160" t="str">
        <f>LEFT(Table2[[#This Row],[Unit ]],2)</f>
        <v>33</v>
      </c>
      <c r="E145" s="161">
        <f>IF(Table2[[#This Row],[Unit ]]="","",_xlfn.XLOOKUP(Table2[[#This Row],[Type]],'Muraba Veil Sale Summary'!A:A,'Muraba Veil Sale Summary'!P:P))</f>
        <v>2</v>
      </c>
      <c r="F145" s="162">
        <f>IF(Table2[[#This Row],[Unit ]]="","",_xlfn.XLOOKUP(Table2[[#This Row],[Type]],'Muraba Veil Sale Summary'!$A:$A,'Muraba Veil Sale Summary'!F:F))</f>
        <v>2880.5300621440001</v>
      </c>
      <c r="G145" s="162">
        <f>IF(Table2[[#This Row],[Unit ]]="","",_xlfn.XLOOKUP(Table2[[#This Row],[Type]],'Muraba Veil Sale Summary'!$A:$A,'Muraba Veil Sale Summary'!G:G))</f>
        <v>2058.9207813120001</v>
      </c>
      <c r="H145" s="162">
        <f t="shared" si="15"/>
        <v>4939.4508434560003</v>
      </c>
      <c r="I145" s="163">
        <f>'Launches Residences'!$U$7</f>
        <v>0.3</v>
      </c>
      <c r="J145" s="162">
        <f>IF(Table2[[#This Row],[Unit ]]="","",F145+(G145*Table2[[#This Row],[Terrace Area]]))</f>
        <v>3498.2062965375999</v>
      </c>
      <c r="K145" s="8">
        <f>IF(Table2[[#This Row],[Unit ]]="","",'Launches Residences'!H42)</f>
        <v>7350</v>
      </c>
      <c r="L145" s="8">
        <f t="shared" ref="L145:L159" si="18">IFERROR(J145*K145,0)</f>
        <v>25711816.279551361</v>
      </c>
      <c r="M145" s="3">
        <f>Table2[[#This Row],[Price/Sq.ft]]</f>
        <v>7350</v>
      </c>
      <c r="N145" s="8" t="e">
        <f>VLOOKUP(Table2[[#This Row],[Unit ]],'[1]Muraba Unit Wise Details '!$C$4:$L$67,10,FALSE)</f>
        <v>#N/A</v>
      </c>
      <c r="O145" s="8" t="e">
        <f>Table2[[#This Row],[Column2]]-Table2[[#This Row],[Price]]</f>
        <v>#N/A</v>
      </c>
      <c r="P145" s="209">
        <f>Table2[[#This Row],[Price]]/Table2[[#This Row],[Total Area
(Sq.ft)]]</f>
        <v>5205.3997690078231</v>
      </c>
      <c r="Q145" s="162">
        <f>Table2[[#This Row],[Price]]/Table2[[#This Row],[Sellable Area
(Sq. ft)]]</f>
        <v>7350.0000000000009</v>
      </c>
      <c r="R145" s="209"/>
      <c r="S145" s="183"/>
      <c r="T145" s="183">
        <f>Table2[[#This Row],[Price/Sq.ft]]-K144</f>
        <v>747.50002083625077</v>
      </c>
      <c r="U145" s="183">
        <f>Table2[[#This Row],[Price]]-L144</f>
        <v>2614909.2795513608</v>
      </c>
    </row>
    <row r="146" spans="1:23" x14ac:dyDescent="0.35">
      <c r="A146" s="157" t="str">
        <f>IF(Table2[[#This Row],[Unit ]]="","","3 Bedroom")</f>
        <v>3 Bedroom</v>
      </c>
      <c r="B146" s="158" t="s">
        <v>21</v>
      </c>
      <c r="C146" s="159">
        <f>'Launches Residences'!D43</f>
        <v>3401</v>
      </c>
      <c r="D146" s="160" t="str">
        <f>LEFT(Table2[[#This Row],[Unit ]],2)</f>
        <v>34</v>
      </c>
      <c r="E146" s="161">
        <f>IF(Table2[[#This Row],[Unit ]]="","",_xlfn.XLOOKUP(Table2[[#This Row],[Type]],'Muraba Veil Sale Summary'!A:A,'Muraba Veil Sale Summary'!P:P))</f>
        <v>2</v>
      </c>
      <c r="F146" s="162">
        <f>IF(Table2[[#This Row],[Unit ]]="","",_xlfn.XLOOKUP(Table2[[#This Row],[Type]],'Muraba Veil Sale Summary'!$A:$A,'Muraba Veil Sale Summary'!F:F))</f>
        <v>2880.5300621440001</v>
      </c>
      <c r="G146" s="162">
        <f>IF(Table2[[#This Row],[Unit ]]="","",_xlfn.XLOOKUP(Table2[[#This Row],[Type]],'Muraba Veil Sale Summary'!$A:$A,'Muraba Veil Sale Summary'!G:G))</f>
        <v>2058.9207813120001</v>
      </c>
      <c r="H146" s="162">
        <f t="shared" si="15"/>
        <v>4939.4508434560003</v>
      </c>
      <c r="I146" s="163">
        <f>'Launches Residences'!$U$7</f>
        <v>0.3</v>
      </c>
      <c r="J146" s="162">
        <f>IF(Table2[[#This Row],[Unit ]]="","",F146+(G146*Table2[[#This Row],[Terrace Area]]))</f>
        <v>3498.2062965375999</v>
      </c>
      <c r="K146" s="8">
        <f>IF(Table2[[#This Row],[Unit ]]="","",'Launches Residences'!H43)</f>
        <v>7500</v>
      </c>
      <c r="L146" s="8">
        <f t="shared" si="18"/>
        <v>26236547.224032</v>
      </c>
      <c r="M146" s="3">
        <f>Table2[[#This Row],[Price/Sq.ft]]</f>
        <v>7500</v>
      </c>
      <c r="N146" s="8" t="e">
        <f>VLOOKUP(Table2[[#This Row],[Unit ]],'[1]Muraba Unit Wise Details '!$C$4:$L$67,10,FALSE)</f>
        <v>#N/A</v>
      </c>
      <c r="O146" s="8" t="e">
        <f>Table2[[#This Row],[Column2]]-Table2[[#This Row],[Price]]</f>
        <v>#N/A</v>
      </c>
      <c r="P146" s="209">
        <f>Table2[[#This Row],[Price]]/Table2[[#This Row],[Total Area
(Sq.ft)]]</f>
        <v>5311.632417354921</v>
      </c>
      <c r="Q146" s="162">
        <f>Table2[[#This Row],[Price]]/Table2[[#This Row],[Sellable Area
(Sq. ft)]]</f>
        <v>7500</v>
      </c>
      <c r="R146" s="209"/>
      <c r="S146" s="183"/>
      <c r="T146" s="183"/>
      <c r="U146" s="183"/>
      <c r="W146" s="183"/>
    </row>
    <row r="147" spans="1:23" x14ac:dyDescent="0.35">
      <c r="A147" s="157" t="str">
        <f>IF(Table2[[#This Row],[Unit ]]="","","3 Bedroom")</f>
        <v>3 Bedroom</v>
      </c>
      <c r="B147" s="158" t="s">
        <v>21</v>
      </c>
      <c r="C147" s="159">
        <f>'Launches Residences'!D44</f>
        <v>3501</v>
      </c>
      <c r="D147" s="160" t="str">
        <f>LEFT(Table2[[#This Row],[Unit ]],2)</f>
        <v>35</v>
      </c>
      <c r="E147" s="161">
        <f>IF(Table2[[#This Row],[Unit ]]="","",_xlfn.XLOOKUP(Table2[[#This Row],[Type]],'Muraba Veil Sale Summary'!A:A,'Muraba Veil Sale Summary'!P:P))</f>
        <v>2</v>
      </c>
      <c r="F147" s="162">
        <f>IF(Table2[[#This Row],[Unit ]]="","",_xlfn.XLOOKUP(Table2[[#This Row],[Type]],'Muraba Veil Sale Summary'!$A:$A,'Muraba Veil Sale Summary'!F:F))</f>
        <v>2880.5300621440001</v>
      </c>
      <c r="G147" s="162">
        <f>IF(Table2[[#This Row],[Unit ]]="","",_xlfn.XLOOKUP(Table2[[#This Row],[Type]],'Muraba Veil Sale Summary'!$A:$A,'Muraba Veil Sale Summary'!G:G))</f>
        <v>2058.9207813120001</v>
      </c>
      <c r="H147" s="162">
        <f t="shared" si="15"/>
        <v>4939.4508434560003</v>
      </c>
      <c r="I147" s="163">
        <f>'Launches Residences'!$U$7</f>
        <v>0.3</v>
      </c>
      <c r="J147" s="162">
        <f>IF(Table2[[#This Row],[Unit ]]="","",F147+(G147*Table2[[#This Row],[Terrace Area]]))</f>
        <v>3498.2062965375999</v>
      </c>
      <c r="K147" s="8">
        <f>IF(Table2[[#This Row],[Unit ]]="","",'Launches Residences'!H44)</f>
        <v>7650</v>
      </c>
      <c r="L147" s="8">
        <f t="shared" si="18"/>
        <v>26761278.168512639</v>
      </c>
      <c r="M147" s="3">
        <f>Table2[[#This Row],[Price/Sq.ft]]</f>
        <v>7650</v>
      </c>
      <c r="N147" s="8" t="e">
        <f>VLOOKUP(Table2[[#This Row],[Unit ]],'[1]Muraba Unit Wise Details '!$C$4:$L$67,10,FALSE)</f>
        <v>#N/A</v>
      </c>
      <c r="O147" s="8" t="e">
        <f>Table2[[#This Row],[Column2]]-Table2[[#This Row],[Price]]</f>
        <v>#N/A</v>
      </c>
      <c r="P147" s="209">
        <f>Table2[[#This Row],[Price]]/Table2[[#This Row],[Total Area
(Sq.ft)]]</f>
        <v>5417.8650657020198</v>
      </c>
      <c r="Q147" s="162">
        <f>Table2[[#This Row],[Price]]/Table2[[#This Row],[Sellable Area
(Sq. ft)]]</f>
        <v>7650</v>
      </c>
      <c r="R147" s="231"/>
      <c r="S147" s="11"/>
      <c r="T147" s="11"/>
      <c r="U147" s="11"/>
    </row>
    <row r="148" spans="1:23" x14ac:dyDescent="0.35">
      <c r="A148" s="157" t="str">
        <f>IF(Table2[[#This Row],[Unit ]]="","","3 Bedroom")</f>
        <v>3 Bedroom</v>
      </c>
      <c r="B148" s="158" t="s">
        <v>21</v>
      </c>
      <c r="C148" s="159">
        <f>'Launches Residences'!D45</f>
        <v>3601</v>
      </c>
      <c r="D148" s="160" t="str">
        <f>LEFT(Table2[[#This Row],[Unit ]],2)</f>
        <v>36</v>
      </c>
      <c r="E148" s="161">
        <f>IF(Table2[[#This Row],[Unit ]]="","",_xlfn.XLOOKUP(Table2[[#This Row],[Type]],'Muraba Veil Sale Summary'!A:A,'Muraba Veil Sale Summary'!P:P))</f>
        <v>2</v>
      </c>
      <c r="F148" s="162">
        <f>IF(Table2[[#This Row],[Unit ]]="","",_xlfn.XLOOKUP(Table2[[#This Row],[Type]],'Muraba Veil Sale Summary'!$A:$A,'Muraba Veil Sale Summary'!F:F))</f>
        <v>2880.5300621440001</v>
      </c>
      <c r="G148" s="162">
        <f>IF(Table2[[#This Row],[Unit ]]="","",_xlfn.XLOOKUP(Table2[[#This Row],[Type]],'Muraba Veil Sale Summary'!$A:$A,'Muraba Veil Sale Summary'!G:G))</f>
        <v>2058.9207813120001</v>
      </c>
      <c r="H148" s="162">
        <f t="shared" si="15"/>
        <v>4939.4508434560003</v>
      </c>
      <c r="I148" s="163">
        <f>'Launches Residences'!$U$7</f>
        <v>0.3</v>
      </c>
      <c r="J148" s="162">
        <f>IF(Table2[[#This Row],[Unit ]]="","",F148+(G148*Table2[[#This Row],[Terrace Area]]))</f>
        <v>3498.2062965375999</v>
      </c>
      <c r="K148" s="8">
        <f>IF(Table2[[#This Row],[Unit ]]="","",'Launches Residences'!H45)</f>
        <v>7800</v>
      </c>
      <c r="L148" s="8">
        <f t="shared" si="18"/>
        <v>27286009.112993278</v>
      </c>
      <c r="M148" s="3">
        <f>Table2[[#This Row],[Price/Sq.ft]]</f>
        <v>7800</v>
      </c>
      <c r="N148" s="8" t="e">
        <f>VLOOKUP(Table2[[#This Row],[Unit ]],'[1]Muraba Unit Wise Details '!$C$4:$L$67,10,FALSE)</f>
        <v>#N/A</v>
      </c>
      <c r="O148" s="8" t="e">
        <f>Table2[[#This Row],[Column2]]-Table2[[#This Row],[Price]]</f>
        <v>#N/A</v>
      </c>
      <c r="P148" s="231">
        <f>Table2[[#This Row],[Price]]/Table2[[#This Row],[Total Area
(Sq.ft)]]</f>
        <v>5524.0977140491177</v>
      </c>
      <c r="Q148" s="162">
        <f>Table2[[#This Row],[Price]]/Table2[[#This Row],[Sellable Area
(Sq. ft)]]</f>
        <v>7800</v>
      </c>
      <c r="R148" s="231"/>
      <c r="S148" s="11"/>
      <c r="T148" s="11"/>
      <c r="U148" s="11"/>
      <c r="W148" s="183"/>
    </row>
    <row r="149" spans="1:23" x14ac:dyDescent="0.35">
      <c r="A149" s="157" t="str">
        <f>IF(Table2[[#This Row],[Unit ]]="","","3 Bedroom")</f>
        <v>3 Bedroom</v>
      </c>
      <c r="B149" s="158" t="s">
        <v>21</v>
      </c>
      <c r="C149" s="159">
        <f>'Launches Residences'!D46</f>
        <v>3701</v>
      </c>
      <c r="D149" s="160" t="str">
        <f>LEFT(Table2[[#This Row],[Unit ]],2)</f>
        <v>37</v>
      </c>
      <c r="E149" s="161">
        <f>IF(Table2[[#This Row],[Unit ]]="","",_xlfn.XLOOKUP(Table2[[#This Row],[Type]],'Muraba Veil Sale Summary'!A:A,'Muraba Veil Sale Summary'!P:P))</f>
        <v>2</v>
      </c>
      <c r="F149" s="162">
        <f>IF(Table2[[#This Row],[Unit ]]="","",_xlfn.XLOOKUP(Table2[[#This Row],[Type]],'Muraba Veil Sale Summary'!$A:$A,'Muraba Veil Sale Summary'!F:F))</f>
        <v>2880.5300621440001</v>
      </c>
      <c r="G149" s="162">
        <f>IF(Table2[[#This Row],[Unit ]]="","",_xlfn.XLOOKUP(Table2[[#This Row],[Type]],'Muraba Veil Sale Summary'!$A:$A,'Muraba Veil Sale Summary'!G:G))</f>
        <v>2058.9207813120001</v>
      </c>
      <c r="H149" s="162">
        <f t="shared" si="15"/>
        <v>4939.4508434560003</v>
      </c>
      <c r="I149" s="163">
        <f>'Launches Residences'!$U$7</f>
        <v>0.3</v>
      </c>
      <c r="J149" s="162">
        <f>IF(Table2[[#This Row],[Unit ]]="","",F149+(G149*Table2[[#This Row],[Terrace Area]]))</f>
        <v>3498.2062965375999</v>
      </c>
      <c r="K149" s="8">
        <f>IF(Table2[[#This Row],[Unit ]]="","",'Launches Residences'!H46)</f>
        <v>7950</v>
      </c>
      <c r="L149" s="8">
        <f t="shared" si="18"/>
        <v>27810740.05747392</v>
      </c>
      <c r="M149" s="3">
        <f>Table2[[#This Row],[Price/Sq.ft]]</f>
        <v>7950</v>
      </c>
      <c r="N149" s="8" t="e">
        <f>VLOOKUP(Table2[[#This Row],[Unit ]],'[1]Muraba Unit Wise Details '!$C$4:$L$67,10,FALSE)</f>
        <v>#N/A</v>
      </c>
      <c r="O149" s="8" t="e">
        <f>Table2[[#This Row],[Column2]]-Table2[[#This Row],[Price]]</f>
        <v>#N/A</v>
      </c>
      <c r="P149" s="209">
        <f>Table2[[#This Row],[Price]]/Table2[[#This Row],[Total Area
(Sq.ft)]]</f>
        <v>5630.3303623962165</v>
      </c>
      <c r="Q149" s="162">
        <f>Table2[[#This Row],[Price]]/Table2[[#This Row],[Sellable Area
(Sq. ft)]]</f>
        <v>7950</v>
      </c>
      <c r="R149" s="209"/>
      <c r="S149" s="9"/>
      <c r="T149" s="9"/>
      <c r="U149" s="9"/>
    </row>
    <row r="150" spans="1:23" x14ac:dyDescent="0.35">
      <c r="A150" s="157" t="str">
        <f>IF(Table2[[#This Row],[Unit ]]="","","3 Bedroom")</f>
        <v>3 Bedroom</v>
      </c>
      <c r="B150" s="158" t="s">
        <v>21</v>
      </c>
      <c r="C150" s="159">
        <f>'Launches Residences'!D47</f>
        <v>3801</v>
      </c>
      <c r="D150" s="160" t="str">
        <f>LEFT(Table2[[#This Row],[Unit ]],2)</f>
        <v>38</v>
      </c>
      <c r="E150" s="161">
        <f>IF(Table2[[#This Row],[Unit ]]="","",_xlfn.XLOOKUP(Table2[[#This Row],[Type]],'Muraba Veil Sale Summary'!A:A,'Muraba Veil Sale Summary'!P:P))</f>
        <v>2</v>
      </c>
      <c r="F150" s="162">
        <f>IF(Table2[[#This Row],[Unit ]]="","",_xlfn.XLOOKUP(Table2[[#This Row],[Type]],'Muraba Veil Sale Summary'!$A:$A,'Muraba Veil Sale Summary'!F:F))</f>
        <v>2880.5300621440001</v>
      </c>
      <c r="G150" s="162">
        <f>IF(Table2[[#This Row],[Unit ]]="","",_xlfn.XLOOKUP(Table2[[#This Row],[Type]],'Muraba Veil Sale Summary'!$A:$A,'Muraba Veil Sale Summary'!G:G))</f>
        <v>2058.9207813120001</v>
      </c>
      <c r="H150" s="162">
        <f t="shared" si="15"/>
        <v>4939.4508434560003</v>
      </c>
      <c r="I150" s="163">
        <f>'Launches Residences'!$U$7</f>
        <v>0.3</v>
      </c>
      <c r="J150" s="162">
        <f>IF(Table2[[#This Row],[Unit ]]="","",F150+(G150*Table2[[#This Row],[Terrace Area]]))</f>
        <v>3498.2062965375999</v>
      </c>
      <c r="K150" s="8">
        <f>IF(Table2[[#This Row],[Unit ]]="","",'Launches Residences'!H47)</f>
        <v>8100</v>
      </c>
      <c r="L150" s="8">
        <f t="shared" si="18"/>
        <v>28335471.001954559</v>
      </c>
      <c r="M150" s="3">
        <f>Table2[[#This Row],[Price/Sq.ft]]</f>
        <v>8100</v>
      </c>
      <c r="N150" s="8" t="e">
        <f>VLOOKUP(Table2[[#This Row],[Unit ]],'[1]Muraba Unit Wise Details '!$C$4:$L$67,10,FALSE)</f>
        <v>#N/A</v>
      </c>
      <c r="O150" s="8" t="e">
        <f>Table2[[#This Row],[Column2]]-Table2[[#This Row],[Price]]</f>
        <v>#N/A</v>
      </c>
      <c r="P150" s="209">
        <f>Table2[[#This Row],[Price]]/Table2[[#This Row],[Total Area
(Sq.ft)]]</f>
        <v>5736.5630107433153</v>
      </c>
      <c r="Q150" s="162">
        <f>Table2[[#This Row],[Price]]/Table2[[#This Row],[Sellable Area
(Sq. ft)]]</f>
        <v>8100</v>
      </c>
      <c r="R150" s="209"/>
      <c r="S150" s="9"/>
      <c r="T150" s="9"/>
      <c r="U150" s="9"/>
    </row>
    <row r="151" spans="1:23" x14ac:dyDescent="0.35">
      <c r="A151" s="157" t="str">
        <f>IF(Table2[[#This Row],[Unit ]]="","","3 Bedroom")</f>
        <v>3 Bedroom</v>
      </c>
      <c r="B151" s="158" t="s">
        <v>21</v>
      </c>
      <c r="C151" s="159">
        <f>'Launches Residences'!D48</f>
        <v>3901</v>
      </c>
      <c r="D151" s="160" t="str">
        <f>LEFT(Table2[[#This Row],[Unit ]],2)</f>
        <v>39</v>
      </c>
      <c r="E151" s="161">
        <f>IF(Table2[[#This Row],[Unit ]]="","",_xlfn.XLOOKUP(Table2[[#This Row],[Type]],'Muraba Veil Sale Summary'!A:A,'Muraba Veil Sale Summary'!P:P))</f>
        <v>2</v>
      </c>
      <c r="F151" s="162">
        <f>IF(Table2[[#This Row],[Unit ]]="","",_xlfn.XLOOKUP(Table2[[#This Row],[Type]],'Muraba Veil Sale Summary'!$A:$A,'Muraba Veil Sale Summary'!F:F))</f>
        <v>2880.5300621440001</v>
      </c>
      <c r="G151" s="162">
        <f>IF(Table2[[#This Row],[Unit ]]="","",_xlfn.XLOOKUP(Table2[[#This Row],[Type]],'Muraba Veil Sale Summary'!$A:$A,'Muraba Veil Sale Summary'!G:G))</f>
        <v>2058.9207813120001</v>
      </c>
      <c r="H151" s="162">
        <f t="shared" si="15"/>
        <v>4939.4508434560003</v>
      </c>
      <c r="I151" s="163">
        <f>'Launches Residences'!$U$7</f>
        <v>0.3</v>
      </c>
      <c r="J151" s="162">
        <f>IF(Table2[[#This Row],[Unit ]]="","",F151+(G151*Table2[[#This Row],[Terrace Area]]))</f>
        <v>3498.2062965375999</v>
      </c>
      <c r="K151" s="8">
        <f>IF(Table2[[#This Row],[Unit ]]="","",'Launches Residences'!H48)</f>
        <v>8250</v>
      </c>
      <c r="L151" s="8">
        <f t="shared" si="18"/>
        <v>28860201.946435198</v>
      </c>
      <c r="M151" s="3">
        <f>Table2[[#This Row],[Price/Sq.ft]]</f>
        <v>8250</v>
      </c>
      <c r="N151" s="8" t="e">
        <f>VLOOKUP(Table2[[#This Row],[Unit ]],'[1]Muraba Unit Wise Details '!$C$4:$L$67,10,FALSE)</f>
        <v>#N/A</v>
      </c>
      <c r="O151" s="8" t="e">
        <f>Table2[[#This Row],[Column2]]-Table2[[#This Row],[Price]]</f>
        <v>#N/A</v>
      </c>
      <c r="P151" s="209">
        <f>Table2[[#This Row],[Price]]/Table2[[#This Row],[Total Area
(Sq.ft)]]</f>
        <v>5842.7956590904132</v>
      </c>
      <c r="Q151" s="162">
        <f>Table2[[#This Row],[Price]]/Table2[[#This Row],[Sellable Area
(Sq. ft)]]</f>
        <v>8250</v>
      </c>
      <c r="R151" s="209"/>
    </row>
    <row r="152" spans="1:23" x14ac:dyDescent="0.35">
      <c r="A152" s="157" t="str">
        <f>IF(Table2[[#This Row],[Unit ]]="","","3 Bedroom")</f>
        <v>3 Bedroom</v>
      </c>
      <c r="B152" s="158" t="s">
        <v>21</v>
      </c>
      <c r="C152" s="159">
        <f>'Launches Residences'!D49</f>
        <v>4001</v>
      </c>
      <c r="D152" s="160" t="str">
        <f>LEFT(Table2[[#This Row],[Unit ]],2)</f>
        <v>40</v>
      </c>
      <c r="E152" s="161">
        <f>IF(Table2[[#This Row],[Unit ]]="","",_xlfn.XLOOKUP(Table2[[#This Row],[Type]],'Muraba Veil Sale Summary'!A:A,'Muraba Veil Sale Summary'!P:P))</f>
        <v>2</v>
      </c>
      <c r="F152" s="162">
        <f>IF(Table2[[#This Row],[Unit ]]="","",_xlfn.XLOOKUP(Table2[[#This Row],[Type]],'Muraba Veil Sale Summary'!$A:$A,'Muraba Veil Sale Summary'!F:F))</f>
        <v>2880.5300621440001</v>
      </c>
      <c r="G152" s="162">
        <f>IF(Table2[[#This Row],[Unit ]]="","",_xlfn.XLOOKUP(Table2[[#This Row],[Type]],'Muraba Veil Sale Summary'!$A:$A,'Muraba Veil Sale Summary'!G:G))</f>
        <v>2058.9207813120001</v>
      </c>
      <c r="H152" s="162">
        <f t="shared" si="15"/>
        <v>4939.4508434560003</v>
      </c>
      <c r="I152" s="163">
        <f>'Launches Residences'!$U$7</f>
        <v>0.3</v>
      </c>
      <c r="J152" s="162">
        <f>IF(Table2[[#This Row],[Unit ]]="","",F152+(G152*Table2[[#This Row],[Terrace Area]]))</f>
        <v>3498.2062965375999</v>
      </c>
      <c r="K152" s="8">
        <f>IF(Table2[[#This Row],[Unit ]]="","",'Launches Residences'!H49)</f>
        <v>8400</v>
      </c>
      <c r="L152" s="8">
        <f t="shared" si="18"/>
        <v>29384932.890915841</v>
      </c>
      <c r="M152" s="3">
        <f>Table2[[#This Row],[Price/Sq.ft]]</f>
        <v>8400</v>
      </c>
      <c r="N152" s="8" t="e">
        <f>VLOOKUP(Table2[[#This Row],[Unit ]],'[1]Muraba Unit Wise Details '!$C$4:$L$67,10,FALSE)</f>
        <v>#N/A</v>
      </c>
      <c r="O152" s="8" t="e">
        <f>Table2[[#This Row],[Column2]]-Table2[[#This Row],[Price]]</f>
        <v>#N/A</v>
      </c>
      <c r="P152" s="209">
        <f>Table2[[#This Row],[Price]]/Table2[[#This Row],[Total Area
(Sq.ft)]]</f>
        <v>5949.028307437512</v>
      </c>
      <c r="Q152" s="162">
        <f>Table2[[#This Row],[Price]]/Table2[[#This Row],[Sellable Area
(Sq. ft)]]</f>
        <v>8400</v>
      </c>
      <c r="R152" s="209"/>
      <c r="S152" s="183"/>
      <c r="T152" s="183"/>
      <c r="U152" s="183"/>
    </row>
    <row r="153" spans="1:23" x14ac:dyDescent="0.35">
      <c r="A153" s="157" t="str">
        <f>IF(Table2[[#This Row],[Unit ]]="","","3 Bedroom")</f>
        <v>3 Bedroom</v>
      </c>
      <c r="B153" s="158" t="s">
        <v>21</v>
      </c>
      <c r="C153" s="159">
        <f>'Launches Residences'!D50</f>
        <v>4101</v>
      </c>
      <c r="D153" s="160" t="str">
        <f>LEFT(Table2[[#This Row],[Unit ]],2)</f>
        <v>41</v>
      </c>
      <c r="E153" s="161">
        <f>IF(Table2[[#This Row],[Unit ]]="","",_xlfn.XLOOKUP(Table2[[#This Row],[Type]],'Muraba Veil Sale Summary'!A:A,'Muraba Veil Sale Summary'!P:P))</f>
        <v>2</v>
      </c>
      <c r="F153" s="162">
        <f>IF(Table2[[#This Row],[Unit ]]="","",_xlfn.XLOOKUP(Table2[[#This Row],[Type]],'Muraba Veil Sale Summary'!$A:$A,'Muraba Veil Sale Summary'!F:F))</f>
        <v>2880.5300621440001</v>
      </c>
      <c r="G153" s="162">
        <f>IF(Table2[[#This Row],[Unit ]]="","",_xlfn.XLOOKUP(Table2[[#This Row],[Type]],'Muraba Veil Sale Summary'!$A:$A,'Muraba Veil Sale Summary'!G:G))</f>
        <v>2058.9207813120001</v>
      </c>
      <c r="H153" s="162">
        <f t="shared" si="15"/>
        <v>4939.4508434560003</v>
      </c>
      <c r="I153" s="163">
        <f>'Launches Residences'!$U$7</f>
        <v>0.3</v>
      </c>
      <c r="J153" s="162">
        <f>IF(Table2[[#This Row],[Unit ]]="","",F153+(G153*Table2[[#This Row],[Terrace Area]]))</f>
        <v>3498.2062965375999</v>
      </c>
      <c r="K153" s="8">
        <f>IF(Table2[[#This Row],[Unit ]]="","",'Launches Residences'!H50)</f>
        <v>8550</v>
      </c>
      <c r="L153" s="8">
        <f t="shared" si="18"/>
        <v>29909663.83539648</v>
      </c>
      <c r="M153" s="3">
        <f>Table2[[#This Row],[Price/Sq.ft]]</f>
        <v>8550</v>
      </c>
      <c r="N153" s="8" t="e">
        <f>VLOOKUP(Table2[[#This Row],[Unit ]],'[1]Muraba Unit Wise Details '!$C$4:$L$67,10,FALSE)</f>
        <v>#N/A</v>
      </c>
      <c r="O153" s="8" t="e">
        <f>Table2[[#This Row],[Column2]]-Table2[[#This Row],[Price]]</f>
        <v>#N/A</v>
      </c>
      <c r="P153" s="209">
        <f>Table2[[#This Row],[Price]]/Table2[[#This Row],[Total Area
(Sq.ft)]]</f>
        <v>6055.2609557846099</v>
      </c>
      <c r="Q153" s="162">
        <f>Table2[[#This Row],[Price]]/Table2[[#This Row],[Sellable Area
(Sq. ft)]]</f>
        <v>8550</v>
      </c>
      <c r="R153" s="209"/>
    </row>
    <row r="154" spans="1:23" x14ac:dyDescent="0.35">
      <c r="A154" s="157" t="str">
        <f>IF(Table2[[#This Row],[Unit ]]="","","3 Bedroom")</f>
        <v>3 Bedroom</v>
      </c>
      <c r="B154" s="158" t="s">
        <v>21</v>
      </c>
      <c r="C154" s="159">
        <f>'Launches Residences'!D51</f>
        <v>4201</v>
      </c>
      <c r="D154" s="160" t="str">
        <f>LEFT(Table2[[#This Row],[Unit ]],2)</f>
        <v>42</v>
      </c>
      <c r="E154" s="161">
        <f>IF(Table2[[#This Row],[Unit ]]="","",_xlfn.XLOOKUP(Table2[[#This Row],[Type]],'Muraba Veil Sale Summary'!A:A,'Muraba Veil Sale Summary'!P:P))</f>
        <v>2</v>
      </c>
      <c r="F154" s="162">
        <f>IF(Table2[[#This Row],[Unit ]]="","",_xlfn.XLOOKUP(Table2[[#This Row],[Type]],'Muraba Veil Sale Summary'!$A:$A,'Muraba Veil Sale Summary'!F:F))</f>
        <v>2880.5300621440001</v>
      </c>
      <c r="G154" s="162">
        <f>IF(Table2[[#This Row],[Unit ]]="","",_xlfn.XLOOKUP(Table2[[#This Row],[Type]],'Muraba Veil Sale Summary'!$A:$A,'Muraba Veil Sale Summary'!G:G))</f>
        <v>2058.9207813120001</v>
      </c>
      <c r="H154" s="162">
        <f t="shared" si="15"/>
        <v>4939.4508434560003</v>
      </c>
      <c r="I154" s="163">
        <f>'Launches Residences'!$U$7</f>
        <v>0.3</v>
      </c>
      <c r="J154" s="162">
        <f>IF(Table2[[#This Row],[Unit ]]="","",F154+(G154*Table2[[#This Row],[Terrace Area]]))</f>
        <v>3498.2062965375999</v>
      </c>
      <c r="K154" s="8">
        <f>IF(Table2[[#This Row],[Unit ]]="","",'Launches Residences'!H51)</f>
        <v>8700</v>
      </c>
      <c r="L154" s="8">
        <f t="shared" si="18"/>
        <v>30434394.779877119</v>
      </c>
      <c r="M154" s="3">
        <f>Table2[[#This Row],[Price/Sq.ft]]</f>
        <v>8700</v>
      </c>
      <c r="N154" s="8" t="e">
        <f>VLOOKUP(Table2[[#This Row],[Unit ]],'[1]Muraba Unit Wise Details '!$C$4:$L$67,10,FALSE)</f>
        <v>#N/A</v>
      </c>
      <c r="O154" s="8" t="e">
        <f>Table2[[#This Row],[Column2]]-Table2[[#This Row],[Price]]</f>
        <v>#N/A</v>
      </c>
      <c r="P154" s="209">
        <f>Table2[[#This Row],[Price]]/Table2[[#This Row],[Total Area
(Sq.ft)]]</f>
        <v>6161.4936041317087</v>
      </c>
      <c r="Q154" s="162">
        <f>Table2[[#This Row],[Price]]/Table2[[#This Row],[Sellable Area
(Sq. ft)]]</f>
        <v>8700</v>
      </c>
      <c r="R154" s="209"/>
    </row>
    <row r="155" spans="1:23" x14ac:dyDescent="0.35">
      <c r="A155" s="157" t="str">
        <f>IF(Table2[[#This Row],[Unit ]]="","","3 Bedroom")</f>
        <v>3 Bedroom</v>
      </c>
      <c r="B155" s="158" t="s">
        <v>21</v>
      </c>
      <c r="C155" s="159">
        <f>'Launches Residences'!D52</f>
        <v>4301</v>
      </c>
      <c r="D155" s="160" t="str">
        <f>LEFT(Table2[[#This Row],[Unit ]],2)</f>
        <v>43</v>
      </c>
      <c r="E155" s="161">
        <f>IF(Table2[[#This Row],[Unit ]]="","",_xlfn.XLOOKUP(Table2[[#This Row],[Type]],'Muraba Veil Sale Summary'!A:A,'Muraba Veil Sale Summary'!P:P))</f>
        <v>2</v>
      </c>
      <c r="F155" s="162">
        <f>IF(Table2[[#This Row],[Unit ]]="","",_xlfn.XLOOKUP(Table2[[#This Row],[Type]],'Muraba Veil Sale Summary'!$A:$A,'Muraba Veil Sale Summary'!F:F))</f>
        <v>2880.5300621440001</v>
      </c>
      <c r="G155" s="162">
        <f>IF(Table2[[#This Row],[Unit ]]="","",_xlfn.XLOOKUP(Table2[[#This Row],[Type]],'Muraba Veil Sale Summary'!$A:$A,'Muraba Veil Sale Summary'!G:G))</f>
        <v>2058.9207813120001</v>
      </c>
      <c r="H155" s="162">
        <f t="shared" si="15"/>
        <v>4939.4508434560003</v>
      </c>
      <c r="I155" s="163">
        <f>'Launches Residences'!$U$7</f>
        <v>0.3</v>
      </c>
      <c r="J155" s="162">
        <f>IF(Table2[[#This Row],[Unit ]]="","",F155+(G155*Table2[[#This Row],[Terrace Area]]))</f>
        <v>3498.2062965375999</v>
      </c>
      <c r="K155" s="8">
        <f>IF(Table2[[#This Row],[Unit ]]="","",'Launches Residences'!H52)</f>
        <v>8850</v>
      </c>
      <c r="L155" s="8">
        <f t="shared" si="18"/>
        <v>30959125.724357758</v>
      </c>
      <c r="M155" s="3">
        <f>Table2[[#This Row],[Price/Sq.ft]]</f>
        <v>8850</v>
      </c>
      <c r="N155" s="8" t="e">
        <f>VLOOKUP(Table2[[#This Row],[Unit ]],'[1]Muraba Unit Wise Details '!$C$4:$L$67,10,FALSE)</f>
        <v>#N/A</v>
      </c>
      <c r="O155" s="8" t="e">
        <f>Table2[[#This Row],[Column2]]-Table2[[#This Row],[Price]]</f>
        <v>#N/A</v>
      </c>
      <c r="P155" s="209">
        <f>Table2[[#This Row],[Price]]/Table2[[#This Row],[Total Area
(Sq.ft)]]</f>
        <v>6267.7262524788066</v>
      </c>
      <c r="Q155" s="162">
        <f>Table2[[#This Row],[Price]]/Table2[[#This Row],[Sellable Area
(Sq. ft)]]</f>
        <v>8850</v>
      </c>
      <c r="R155" s="209"/>
    </row>
    <row r="156" spans="1:23" x14ac:dyDescent="0.35">
      <c r="A156" s="157" t="str">
        <f>IF(Table2[[#This Row],[Unit ]]="","","3 Bedroom")</f>
        <v>3 Bedroom</v>
      </c>
      <c r="B156" s="158" t="s">
        <v>21</v>
      </c>
      <c r="C156" s="159">
        <f>'Launches Residences'!D53</f>
        <v>4401</v>
      </c>
      <c r="D156" s="160" t="str">
        <f>LEFT(Table2[[#This Row],[Unit ]],2)</f>
        <v>44</v>
      </c>
      <c r="E156" s="161">
        <f>IF(Table2[[#This Row],[Unit ]]="","",_xlfn.XLOOKUP(Table2[[#This Row],[Type]],'Muraba Veil Sale Summary'!A:A,'Muraba Veil Sale Summary'!P:P))</f>
        <v>2</v>
      </c>
      <c r="F156" s="162">
        <f>IF(Table2[[#This Row],[Unit ]]="","",_xlfn.XLOOKUP(Table2[[#This Row],[Type]],'Muraba Veil Sale Summary'!$A:$A,'Muraba Veil Sale Summary'!F:F))</f>
        <v>2880.5300621440001</v>
      </c>
      <c r="G156" s="162">
        <f>IF(Table2[[#This Row],[Unit ]]="","",_xlfn.XLOOKUP(Table2[[#This Row],[Type]],'Muraba Veil Sale Summary'!$A:$A,'Muraba Veil Sale Summary'!G:G))</f>
        <v>2058.9207813120001</v>
      </c>
      <c r="H156" s="162">
        <f t="shared" si="15"/>
        <v>4939.4508434560003</v>
      </c>
      <c r="I156" s="163">
        <f>'Launches Residences'!$U$7</f>
        <v>0.3</v>
      </c>
      <c r="J156" s="162">
        <f>IF(Table2[[#This Row],[Unit ]]="","",F156+(G156*Table2[[#This Row],[Terrace Area]]))</f>
        <v>3498.2062965375999</v>
      </c>
      <c r="K156" s="8">
        <f>IF(Table2[[#This Row],[Unit ]]="","",'Launches Residences'!H53)</f>
        <v>9000</v>
      </c>
      <c r="L156" s="8">
        <f t="shared" si="18"/>
        <v>31483856.6688384</v>
      </c>
      <c r="M156" s="3">
        <f>Table2[[#This Row],[Price/Sq.ft]]</f>
        <v>9000</v>
      </c>
      <c r="N156" s="8" t="e">
        <f>VLOOKUP(Table2[[#This Row],[Unit ]],'[1]Muraba Unit Wise Details '!$C$4:$L$67,10,FALSE)</f>
        <v>#N/A</v>
      </c>
      <c r="O156" s="8" t="e">
        <f>Table2[[#This Row],[Column2]]-Table2[[#This Row],[Price]]</f>
        <v>#N/A</v>
      </c>
      <c r="P156" s="209">
        <f>Table2[[#This Row],[Price]]/Table2[[#This Row],[Total Area
(Sq.ft)]]</f>
        <v>6373.9589008259054</v>
      </c>
      <c r="Q156" s="162">
        <f>Table2[[#This Row],[Price]]/Table2[[#This Row],[Sellable Area
(Sq. ft)]]</f>
        <v>9000</v>
      </c>
      <c r="R156" s="209"/>
    </row>
    <row r="157" spans="1:23" x14ac:dyDescent="0.35">
      <c r="A157" s="157" t="str">
        <f>IF(Table2[[#This Row],[Unit ]]="","","3 Bedroom")</f>
        <v>3 Bedroom</v>
      </c>
      <c r="B157" s="158" t="s">
        <v>21</v>
      </c>
      <c r="C157" s="159">
        <f>'Launches Residences'!D54</f>
        <v>4501</v>
      </c>
      <c r="D157" s="160" t="str">
        <f>LEFT(Table2[[#This Row],[Unit ]],2)</f>
        <v>45</v>
      </c>
      <c r="E157" s="161">
        <f>IF(Table2[[#This Row],[Unit ]]="","",_xlfn.XLOOKUP(Table2[[#This Row],[Type]],'Muraba Veil Sale Summary'!A:A,'Muraba Veil Sale Summary'!P:P))</f>
        <v>2</v>
      </c>
      <c r="F157" s="162">
        <f>IF(Table2[[#This Row],[Unit ]]="","",_xlfn.XLOOKUP(Table2[[#This Row],[Type]],'Muraba Veil Sale Summary'!$A:$A,'Muraba Veil Sale Summary'!F:F))</f>
        <v>2880.5300621440001</v>
      </c>
      <c r="G157" s="162">
        <f>IF(Table2[[#This Row],[Unit ]]="","",_xlfn.XLOOKUP(Table2[[#This Row],[Type]],'Muraba Veil Sale Summary'!$A:$A,'Muraba Veil Sale Summary'!G:G))</f>
        <v>2058.9207813120001</v>
      </c>
      <c r="H157" s="162">
        <f t="shared" si="15"/>
        <v>4939.4508434560003</v>
      </c>
      <c r="I157" s="163">
        <f>'Launches Residences'!$U$7</f>
        <v>0.3</v>
      </c>
      <c r="J157" s="162">
        <f>IF(Table2[[#This Row],[Unit ]]="","",F157+(G157*Table2[[#This Row],[Terrace Area]]))</f>
        <v>3498.2062965375999</v>
      </c>
      <c r="K157" s="8">
        <f>IF(Table2[[#This Row],[Unit ]]="","",'Launches Residences'!H54)</f>
        <v>9150</v>
      </c>
      <c r="L157" s="8">
        <f t="shared" si="18"/>
        <v>32008587.613319039</v>
      </c>
      <c r="M157" s="3">
        <f>Table2[[#This Row],[Price/Sq.ft]]</f>
        <v>9150</v>
      </c>
      <c r="N157" s="8" t="e">
        <f>VLOOKUP(Table2[[#This Row],[Unit ]],'[1]Muraba Unit Wise Details '!$C$4:$L$67,10,FALSE)</f>
        <v>#N/A</v>
      </c>
      <c r="O157" s="8" t="e">
        <f>Table2[[#This Row],[Column2]]-Table2[[#This Row],[Price]]</f>
        <v>#N/A</v>
      </c>
      <c r="P157" s="231">
        <f>Table2[[#This Row],[Price]]/Table2[[#This Row],[Total Area
(Sq.ft)]]</f>
        <v>6480.1915491730042</v>
      </c>
      <c r="Q157" s="162">
        <f>Table2[[#This Row],[Price]]/Table2[[#This Row],[Sellable Area
(Sq. ft)]]</f>
        <v>9150</v>
      </c>
      <c r="R157" s="209"/>
    </row>
    <row r="158" spans="1:23" x14ac:dyDescent="0.35">
      <c r="A158" s="157" t="str">
        <f>IF(Table2[[#This Row],[Unit ]]="","","3 Bedroom")</f>
        <v>3 Bedroom</v>
      </c>
      <c r="B158" s="158" t="s">
        <v>21</v>
      </c>
      <c r="C158" s="159">
        <f>'Launches Residences'!D55</f>
        <v>4601</v>
      </c>
      <c r="D158" s="160" t="str">
        <f>LEFT(Table2[[#This Row],[Unit ]],2)</f>
        <v>46</v>
      </c>
      <c r="E158" s="161">
        <f>IF(Table2[[#This Row],[Unit ]]="","",_xlfn.XLOOKUP(Table2[[#This Row],[Type]],'Muraba Veil Sale Summary'!A:A,'Muraba Veil Sale Summary'!P:P))</f>
        <v>2</v>
      </c>
      <c r="F158" s="162">
        <f>IF(Table2[[#This Row],[Unit ]]="","",_xlfn.XLOOKUP(Table2[[#This Row],[Type]],'Muraba Veil Sale Summary'!$A:$A,'Muraba Veil Sale Summary'!F:F))</f>
        <v>2880.5300621440001</v>
      </c>
      <c r="G158" s="162">
        <f>IF(Table2[[#This Row],[Unit ]]="","",_xlfn.XLOOKUP(Table2[[#This Row],[Type]],'Muraba Veil Sale Summary'!$A:$A,'Muraba Veil Sale Summary'!G:G))</f>
        <v>2058.9207813120001</v>
      </c>
      <c r="H158" s="162">
        <f t="shared" ref="H158:H174" si="19">IFERROR(F158+G158,0)</f>
        <v>4939.4508434560003</v>
      </c>
      <c r="I158" s="163">
        <f>'Launches Residences'!$U$7</f>
        <v>0.3</v>
      </c>
      <c r="J158" s="162">
        <f>IF(Table2[[#This Row],[Unit ]]="","",F158+(G158*Table2[[#This Row],[Terrace Area]]))</f>
        <v>3498.2062965375999</v>
      </c>
      <c r="K158" s="8">
        <f>IF(Table2[[#This Row],[Unit ]]="","",'Launches Residences'!H55)</f>
        <v>9300</v>
      </c>
      <c r="L158" s="8">
        <f t="shared" si="18"/>
        <v>32533318.557799678</v>
      </c>
      <c r="M158" s="3">
        <f>Table2[[#This Row],[Price/Sq.ft]]</f>
        <v>9300</v>
      </c>
      <c r="N158" s="8" t="e">
        <f>VLOOKUP(Table2[[#This Row],[Unit ]],'[1]Muraba Unit Wise Details '!$C$4:$L$67,10,FALSE)</f>
        <v>#N/A</v>
      </c>
      <c r="O158" s="8" t="e">
        <f>Table2[[#This Row],[Column2]]-Table2[[#This Row],[Price]]</f>
        <v>#N/A</v>
      </c>
      <c r="P158" s="209">
        <f>Table2[[#This Row],[Price]]/Table2[[#This Row],[Total Area
(Sq.ft)]]</f>
        <v>6586.4241975201021</v>
      </c>
      <c r="Q158" s="162">
        <f>Table2[[#This Row],[Price]]/Table2[[#This Row],[Sellable Area
(Sq. ft)]]</f>
        <v>9300</v>
      </c>
      <c r="R158" s="209"/>
    </row>
    <row r="159" spans="1:23" x14ac:dyDescent="0.35">
      <c r="A159" s="157" t="str">
        <f>IF(Table2[[#This Row],[Unit ]]="","","3 Bedroom")</f>
        <v>3 Bedroom</v>
      </c>
      <c r="B159" s="158" t="s">
        <v>21</v>
      </c>
      <c r="C159" s="159">
        <f>'Launches Residences'!D56</f>
        <v>4701</v>
      </c>
      <c r="D159" s="160" t="str">
        <f>LEFT(Table2[[#This Row],[Unit ]],2)</f>
        <v>47</v>
      </c>
      <c r="E159" s="161">
        <f>IF(Table2[[#This Row],[Unit ]]="","",_xlfn.XLOOKUP(Table2[[#This Row],[Type]],'Muraba Veil Sale Summary'!A:A,'Muraba Veil Sale Summary'!P:P))</f>
        <v>2</v>
      </c>
      <c r="F159" s="162">
        <f>IF(Table2[[#This Row],[Unit ]]="","",_xlfn.XLOOKUP(Table2[[#This Row],[Type]],'Muraba Veil Sale Summary'!$A:$A,'Muraba Veil Sale Summary'!F:F))</f>
        <v>2880.5300621440001</v>
      </c>
      <c r="G159" s="162">
        <f>IF(Table2[[#This Row],[Unit ]]="","",_xlfn.XLOOKUP(Table2[[#This Row],[Type]],'Muraba Veil Sale Summary'!$A:$A,'Muraba Veil Sale Summary'!G:G))</f>
        <v>2058.9207813120001</v>
      </c>
      <c r="H159" s="162">
        <f t="shared" si="19"/>
        <v>4939.4508434560003</v>
      </c>
      <c r="I159" s="163">
        <f>'Launches Residences'!$U$7</f>
        <v>0.3</v>
      </c>
      <c r="J159" s="162">
        <f>IF(Table2[[#This Row],[Unit ]]="","",F159+(G159*Table2[[#This Row],[Terrace Area]]))</f>
        <v>3498.2062965375999</v>
      </c>
      <c r="K159" s="8">
        <f>IF(Table2[[#This Row],[Unit ]]="","",'Launches Residences'!H56)</f>
        <v>9450</v>
      </c>
      <c r="L159" s="8">
        <f t="shared" si="18"/>
        <v>33058049.502280317</v>
      </c>
      <c r="M159" s="3">
        <f>Table2[[#This Row],[Price/Sq.ft]]</f>
        <v>9450</v>
      </c>
      <c r="N159" s="8" t="e">
        <f>VLOOKUP(Table2[[#This Row],[Unit ]],'[1]Muraba Unit Wise Details '!$C$4:$L$67,10,FALSE)</f>
        <v>#N/A</v>
      </c>
      <c r="O159" s="8" t="e">
        <f>Table2[[#This Row],[Column2]]-Table2[[#This Row],[Price]]</f>
        <v>#N/A</v>
      </c>
      <c r="P159" s="209">
        <f>Table2[[#This Row],[Price]]/Table2[[#This Row],[Total Area
(Sq.ft)]]</f>
        <v>6692.6568458672</v>
      </c>
      <c r="Q159" s="162">
        <f>Table2[[#This Row],[Price]]/Table2[[#This Row],[Sellable Area
(Sq. ft)]]</f>
        <v>9450</v>
      </c>
      <c r="R159" s="209"/>
    </row>
    <row r="160" spans="1:23" x14ac:dyDescent="0.35">
      <c r="A160" s="157" t="str">
        <f>IF(Table2[[#This Row],[Unit ]]="","","3 Bedroom")</f>
        <v>3 Bedroom</v>
      </c>
      <c r="B160" s="158" t="s">
        <v>21</v>
      </c>
      <c r="C160" s="159">
        <f>'Launches Residences'!D57</f>
        <v>4801</v>
      </c>
      <c r="D160" s="160" t="str">
        <f>LEFT(Table2[[#This Row],[Unit ]],2)</f>
        <v>48</v>
      </c>
      <c r="E160" s="161">
        <f>IF(Table2[[#This Row],[Unit ]]="","",_xlfn.XLOOKUP(Table2[[#This Row],[Type]],'Muraba Veil Sale Summary'!A:A,'Muraba Veil Sale Summary'!P:P))</f>
        <v>2</v>
      </c>
      <c r="F160" s="162">
        <f>IF(Table2[[#This Row],[Unit ]]="","",_xlfn.XLOOKUP(Table2[[#This Row],[Type]],'Muraba Veil Sale Summary'!$A:$A,'Muraba Veil Sale Summary'!F:F))</f>
        <v>2880.5300621440001</v>
      </c>
      <c r="G160" s="162">
        <f>IF(Table2[[#This Row],[Unit ]]="","",_xlfn.XLOOKUP(Table2[[#This Row],[Type]],'Muraba Veil Sale Summary'!$A:$A,'Muraba Veil Sale Summary'!G:G))</f>
        <v>2058.9207813120001</v>
      </c>
      <c r="H160" s="162">
        <f t="shared" si="19"/>
        <v>4939.4508434560003</v>
      </c>
      <c r="I160" s="163">
        <f>'Launches Residences'!$U$7</f>
        <v>0.3</v>
      </c>
      <c r="J160" s="162">
        <f>IF(Table2[[#This Row],[Unit ]]="","",F160+(G160*Table2[[#This Row],[Terrace Area]]))</f>
        <v>3498.2062965375999</v>
      </c>
      <c r="K160" s="8">
        <f>IF(Table2[[#This Row],[Unit ]]="","",'Launches Residences'!H57)</f>
        <v>9600</v>
      </c>
      <c r="L160" s="8">
        <f t="shared" ref="L160:L174" si="20">IFERROR(J160*K160,0)</f>
        <v>33582780.44676096</v>
      </c>
      <c r="M160" s="3">
        <f>Table2[[#This Row],[Price/Sq.ft]]</f>
        <v>9600</v>
      </c>
      <c r="N160" s="8" t="e">
        <f>VLOOKUP(Table2[[#This Row],[Unit ]],'[1]Muraba Unit Wise Details '!$C$4:$L$67,10,FALSE)</f>
        <v>#N/A</v>
      </c>
      <c r="O160" s="8" t="e">
        <f>Table2[[#This Row],[Column2]]-Table2[[#This Row],[Price]]</f>
        <v>#N/A</v>
      </c>
      <c r="P160" s="209">
        <f>Table2[[#This Row],[Price]]/Table2[[#This Row],[Total Area
(Sq.ft)]]</f>
        <v>6798.8894942142997</v>
      </c>
      <c r="Q160" s="162">
        <f>Table2[[#This Row],[Price]]/Table2[[#This Row],[Sellable Area
(Sq. ft)]]</f>
        <v>9600</v>
      </c>
      <c r="R160" s="209"/>
    </row>
    <row r="161" spans="1:18" x14ac:dyDescent="0.35">
      <c r="A161" s="157" t="str">
        <f>IF(Table2[[#This Row],[Unit ]]="","","3 Bedroom")</f>
        <v>3 Bedroom</v>
      </c>
      <c r="B161" s="158" t="s">
        <v>21</v>
      </c>
      <c r="C161" s="159">
        <f>'Launches Residences'!D58</f>
        <v>4901</v>
      </c>
      <c r="D161" s="160" t="str">
        <f>LEFT(Table2[[#This Row],[Unit ]],2)</f>
        <v>49</v>
      </c>
      <c r="E161" s="161">
        <f>IF(Table2[[#This Row],[Unit ]]="","",_xlfn.XLOOKUP(Table2[[#This Row],[Type]],'Muraba Veil Sale Summary'!A:A,'Muraba Veil Sale Summary'!P:P))</f>
        <v>2</v>
      </c>
      <c r="F161" s="162">
        <f>IF(Table2[[#This Row],[Unit ]]="","",_xlfn.XLOOKUP(Table2[[#This Row],[Type]],'Muraba Veil Sale Summary'!$A:$A,'Muraba Veil Sale Summary'!F:F))</f>
        <v>2880.5300621440001</v>
      </c>
      <c r="G161" s="162">
        <f>IF(Table2[[#This Row],[Unit ]]="","",_xlfn.XLOOKUP(Table2[[#This Row],[Type]],'Muraba Veil Sale Summary'!$A:$A,'Muraba Veil Sale Summary'!G:G))</f>
        <v>2058.9207813120001</v>
      </c>
      <c r="H161" s="162">
        <f t="shared" si="19"/>
        <v>4939.4508434560003</v>
      </c>
      <c r="I161" s="163">
        <f>'Launches Residences'!$U$7</f>
        <v>0.3</v>
      </c>
      <c r="J161" s="162">
        <f>IF(Table2[[#This Row],[Unit ]]="","",F161+(G161*Table2[[#This Row],[Terrace Area]]))</f>
        <v>3498.2062965375999</v>
      </c>
      <c r="K161" s="8">
        <f>IF(Table2[[#This Row],[Unit ]]="","",'Launches Residences'!H58)</f>
        <v>9750</v>
      </c>
      <c r="L161" s="8">
        <f t="shared" si="20"/>
        <v>34107511.391241595</v>
      </c>
      <c r="M161" s="3">
        <f>Table2[[#This Row],[Price/Sq.ft]]</f>
        <v>9750</v>
      </c>
      <c r="N161" s="8" t="e">
        <f>VLOOKUP(Table2[[#This Row],[Unit ]],'[1]Muraba Unit Wise Details '!$C$4:$L$67,10,FALSE)</f>
        <v>#N/A</v>
      </c>
      <c r="O161" s="8" t="e">
        <f>Table2[[#This Row],[Column2]]-Table2[[#This Row],[Price]]</f>
        <v>#N/A</v>
      </c>
      <c r="P161" s="209">
        <f>Table2[[#This Row],[Price]]/Table2[[#This Row],[Total Area
(Sq.ft)]]</f>
        <v>6905.1221425613967</v>
      </c>
      <c r="Q161" s="162">
        <f>Table2[[#This Row],[Price]]/Table2[[#This Row],[Sellable Area
(Sq. ft)]]</f>
        <v>9749.9999999999982</v>
      </c>
      <c r="R161" s="209"/>
    </row>
    <row r="162" spans="1:18" x14ac:dyDescent="0.35">
      <c r="A162" s="157" t="str">
        <f>IF(Table2[[#This Row],[Unit ]]="","","3 Bedroom")</f>
        <v>3 Bedroom</v>
      </c>
      <c r="B162" s="158" t="s">
        <v>21</v>
      </c>
      <c r="C162" s="159">
        <f>'Launches Residences'!D59</f>
        <v>5101</v>
      </c>
      <c r="D162" s="160" t="str">
        <f>LEFT(Table2[[#This Row],[Unit ]],2)</f>
        <v>51</v>
      </c>
      <c r="E162" s="161">
        <f>IF(Table2[[#This Row],[Unit ]]="","",_xlfn.XLOOKUP(Table2[[#This Row],[Type]],'Muraba Veil Sale Summary'!A:A,'Muraba Veil Sale Summary'!P:P))</f>
        <v>2</v>
      </c>
      <c r="F162" s="162">
        <f>IF(Table2[[#This Row],[Unit ]]="","",_xlfn.XLOOKUP(Table2[[#This Row],[Type]],'Muraba Veil Sale Summary'!$A:$A,'Muraba Veil Sale Summary'!F:F))</f>
        <v>2880.5300621440001</v>
      </c>
      <c r="G162" s="162">
        <f>IF(Table2[[#This Row],[Unit ]]="","",_xlfn.XLOOKUP(Table2[[#This Row],[Type]],'Muraba Veil Sale Summary'!$A:$A,'Muraba Veil Sale Summary'!G:G))</f>
        <v>2058.9207813120001</v>
      </c>
      <c r="H162" s="162">
        <f t="shared" si="19"/>
        <v>4939.4508434560003</v>
      </c>
      <c r="I162" s="163">
        <f>'Launches Residences'!$U$7</f>
        <v>0.3</v>
      </c>
      <c r="J162" s="162">
        <f>IF(Table2[[#This Row],[Unit ]]="","",F162+(G162*Table2[[#This Row],[Terrace Area]]))</f>
        <v>3498.2062965375999</v>
      </c>
      <c r="K162" s="8">
        <f>IF(Table2[[#This Row],[Unit ]]="","",'Launches Residences'!H59)</f>
        <v>9900</v>
      </c>
      <c r="L162" s="8">
        <f t="shared" si="20"/>
        <v>34632242.335722238</v>
      </c>
      <c r="M162" s="3">
        <f>Table2[[#This Row],[Price/Sq.ft]]</f>
        <v>9900</v>
      </c>
      <c r="N162" s="8" t="e">
        <f>VLOOKUP(Table2[[#This Row],[Unit ]],'[1]Muraba Unit Wise Details '!$C$4:$L$67,10,FALSE)</f>
        <v>#N/A</v>
      </c>
      <c r="O162" s="8" t="e">
        <f>Table2[[#This Row],[Column2]]-Table2[[#This Row],[Price]]</f>
        <v>#N/A</v>
      </c>
      <c r="P162" s="209">
        <f>Table2[[#This Row],[Price]]/Table2[[#This Row],[Total Area
(Sq.ft)]]</f>
        <v>7011.3547909084955</v>
      </c>
      <c r="Q162" s="162">
        <f>Table2[[#This Row],[Price]]/Table2[[#This Row],[Sellable Area
(Sq. ft)]]</f>
        <v>9900</v>
      </c>
      <c r="R162" s="209"/>
    </row>
    <row r="163" spans="1:18" x14ac:dyDescent="0.35">
      <c r="A163" s="157" t="str">
        <f>IF(Table2[[#This Row],[Unit ]]="","","3 Bedroom")</f>
        <v>3 Bedroom</v>
      </c>
      <c r="B163" s="158" t="s">
        <v>21</v>
      </c>
      <c r="C163" s="159">
        <f>'Launches Residences'!D60</f>
        <v>5201</v>
      </c>
      <c r="D163" s="160" t="str">
        <f>LEFT(Table2[[#This Row],[Unit ]],2)</f>
        <v>52</v>
      </c>
      <c r="E163" s="161">
        <f>IF(Table2[[#This Row],[Unit ]]="","",_xlfn.XLOOKUP(Table2[[#This Row],[Type]],'Muraba Veil Sale Summary'!A:A,'Muraba Veil Sale Summary'!P:P))</f>
        <v>2</v>
      </c>
      <c r="F163" s="162">
        <f>IF(Table2[[#This Row],[Unit ]]="","",_xlfn.XLOOKUP(Table2[[#This Row],[Type]],'Muraba Veil Sale Summary'!$A:$A,'Muraba Veil Sale Summary'!F:F))</f>
        <v>2880.5300621440001</v>
      </c>
      <c r="G163" s="162">
        <f>IF(Table2[[#This Row],[Unit ]]="","",_xlfn.XLOOKUP(Table2[[#This Row],[Type]],'Muraba Veil Sale Summary'!$A:$A,'Muraba Veil Sale Summary'!G:G))</f>
        <v>2058.9207813120001</v>
      </c>
      <c r="H163" s="162">
        <f t="shared" si="19"/>
        <v>4939.4508434560003</v>
      </c>
      <c r="I163" s="163">
        <f>'Launches Residences'!$U$7</f>
        <v>0.3</v>
      </c>
      <c r="J163" s="162">
        <f>IF(Table2[[#This Row],[Unit ]]="","",F163+(G163*Table2[[#This Row],[Terrace Area]]))</f>
        <v>3498.2062965375999</v>
      </c>
      <c r="K163" s="8">
        <f>IF(Table2[[#This Row],[Unit ]]="","",'Launches Residences'!H60)</f>
        <v>10050</v>
      </c>
      <c r="L163" s="8">
        <f t="shared" si="20"/>
        <v>35156973.280202881</v>
      </c>
      <c r="M163" s="3">
        <f>Table2[[#This Row],[Price/Sq.ft]]</f>
        <v>10050</v>
      </c>
      <c r="N163" s="8" t="e">
        <f>VLOOKUP(Table2[[#This Row],[Unit ]],'[1]Muraba Unit Wise Details '!$C$4:$L$67,10,FALSE)</f>
        <v>#N/A</v>
      </c>
      <c r="O163" s="8" t="e">
        <f>Table2[[#This Row],[Column2]]-Table2[[#This Row],[Price]]</f>
        <v>#N/A</v>
      </c>
      <c r="P163" s="209">
        <f>Table2[[#This Row],[Price]]/Table2[[#This Row],[Total Area
(Sq.ft)]]</f>
        <v>7117.5874392555952</v>
      </c>
      <c r="Q163" s="162">
        <f>Table2[[#This Row],[Price]]/Table2[[#This Row],[Sellable Area
(Sq. ft)]]</f>
        <v>10050</v>
      </c>
      <c r="R163" s="209"/>
    </row>
    <row r="164" spans="1:18" x14ac:dyDescent="0.35">
      <c r="A164" s="157" t="str">
        <f>IF(Table2[[#This Row],[Unit ]]="","","3 Bedroom")</f>
        <v>3 Bedroom</v>
      </c>
      <c r="B164" s="158" t="s">
        <v>21</v>
      </c>
      <c r="C164" s="159">
        <f>'Launches Residences'!D61</f>
        <v>5301</v>
      </c>
      <c r="D164" s="160" t="str">
        <f>LEFT(Table2[[#This Row],[Unit ]],2)</f>
        <v>53</v>
      </c>
      <c r="E164" s="161">
        <f>IF(Table2[[#This Row],[Unit ]]="","",_xlfn.XLOOKUP(Table2[[#This Row],[Type]],'Muraba Veil Sale Summary'!A:A,'Muraba Veil Sale Summary'!P:P))</f>
        <v>2</v>
      </c>
      <c r="F164" s="162">
        <f>IF(Table2[[#This Row],[Unit ]]="","",_xlfn.XLOOKUP(Table2[[#This Row],[Type]],'Muraba Veil Sale Summary'!$A:$A,'Muraba Veil Sale Summary'!F:F))</f>
        <v>2880.5300621440001</v>
      </c>
      <c r="G164" s="162">
        <f>IF(Table2[[#This Row],[Unit ]]="","",_xlfn.XLOOKUP(Table2[[#This Row],[Type]],'Muraba Veil Sale Summary'!$A:$A,'Muraba Veil Sale Summary'!G:G))</f>
        <v>2058.9207813120001</v>
      </c>
      <c r="H164" s="162">
        <f t="shared" si="19"/>
        <v>4939.4508434560003</v>
      </c>
      <c r="I164" s="163">
        <f>'Launches Residences'!$U$7</f>
        <v>0.3</v>
      </c>
      <c r="J164" s="162">
        <f>IF(Table2[[#This Row],[Unit ]]="","",F164+(G164*Table2[[#This Row],[Terrace Area]]))</f>
        <v>3498.2062965375999</v>
      </c>
      <c r="K164" s="8">
        <f>IF(Table2[[#This Row],[Unit ]]="","",'Launches Residences'!H61)</f>
        <v>10200</v>
      </c>
      <c r="L164" s="8">
        <f t="shared" si="20"/>
        <v>35681704.224683516</v>
      </c>
      <c r="M164" s="3">
        <f>Table2[[#This Row],[Price/Sq.ft]]</f>
        <v>10200</v>
      </c>
      <c r="N164" s="8" t="e">
        <f>VLOOKUP(Table2[[#This Row],[Unit ]],'[1]Muraba Unit Wise Details '!$C$4:$L$67,10,FALSE)</f>
        <v>#N/A</v>
      </c>
      <c r="O164" s="8" t="e">
        <f>Table2[[#This Row],[Column2]]-Table2[[#This Row],[Price]]</f>
        <v>#N/A</v>
      </c>
      <c r="P164" s="209">
        <f>Table2[[#This Row],[Price]]/Table2[[#This Row],[Total Area
(Sq.ft)]]</f>
        <v>7223.8200876026922</v>
      </c>
      <c r="Q164" s="162">
        <f>Table2[[#This Row],[Price]]/Table2[[#This Row],[Sellable Area
(Sq. ft)]]</f>
        <v>10200</v>
      </c>
      <c r="R164" s="209"/>
    </row>
    <row r="165" spans="1:18" x14ac:dyDescent="0.35">
      <c r="A165" s="157" t="str">
        <f>IF(Table2[[#This Row],[Unit ]]="","","3 Bedroom")</f>
        <v>3 Bedroom</v>
      </c>
      <c r="B165" s="158" t="s">
        <v>21</v>
      </c>
      <c r="C165" s="159">
        <f>'Launches Residences'!D62</f>
        <v>5401</v>
      </c>
      <c r="D165" s="160" t="str">
        <f>LEFT(Table2[[#This Row],[Unit ]],2)</f>
        <v>54</v>
      </c>
      <c r="E165" s="161">
        <f>IF(Table2[[#This Row],[Unit ]]="","",_xlfn.XLOOKUP(Table2[[#This Row],[Type]],'Muraba Veil Sale Summary'!A:A,'Muraba Veil Sale Summary'!P:P))</f>
        <v>2</v>
      </c>
      <c r="F165" s="162">
        <f>IF(Table2[[#This Row],[Unit ]]="","",_xlfn.XLOOKUP(Table2[[#This Row],[Type]],'Muraba Veil Sale Summary'!$A:$A,'Muraba Veil Sale Summary'!F:F))</f>
        <v>2880.5300621440001</v>
      </c>
      <c r="G165" s="162">
        <f>IF(Table2[[#This Row],[Unit ]]="","",_xlfn.XLOOKUP(Table2[[#This Row],[Type]],'Muraba Veil Sale Summary'!$A:$A,'Muraba Veil Sale Summary'!G:G))</f>
        <v>2058.9207813120001</v>
      </c>
      <c r="H165" s="162">
        <f t="shared" si="19"/>
        <v>4939.4508434560003</v>
      </c>
      <c r="I165" s="163">
        <f>'Launches Residences'!$U$7</f>
        <v>0.3</v>
      </c>
      <c r="J165" s="162">
        <f>IF(Table2[[#This Row],[Unit ]]="","",F165+(G165*Table2[[#This Row],[Terrace Area]]))</f>
        <v>3498.2062965375999</v>
      </c>
      <c r="K165" s="8">
        <f>IF(Table2[[#This Row],[Unit ]]="","",'Launches Residences'!H62)</f>
        <v>10350</v>
      </c>
      <c r="L165" s="8">
        <f t="shared" si="20"/>
        <v>36206435.169164158</v>
      </c>
      <c r="M165" s="3">
        <f>Table2[[#This Row],[Price/Sq.ft]]</f>
        <v>10350</v>
      </c>
      <c r="N165" s="8" t="e">
        <f>VLOOKUP(Table2[[#This Row],[Unit ]],'[1]Muraba Unit Wise Details '!$C$4:$L$67,10,FALSE)</f>
        <v>#N/A</v>
      </c>
      <c r="O165" s="8" t="e">
        <f>Table2[[#This Row],[Column2]]-Table2[[#This Row],[Price]]</f>
        <v>#N/A</v>
      </c>
      <c r="P165" s="209">
        <f>Table2[[#This Row],[Price]]/Table2[[#This Row],[Total Area
(Sq.ft)]]</f>
        <v>7330.052735949791</v>
      </c>
      <c r="Q165" s="162">
        <f>Table2[[#This Row],[Price]]/Table2[[#This Row],[Sellable Area
(Sq. ft)]]</f>
        <v>10350</v>
      </c>
      <c r="R165" s="209"/>
    </row>
    <row r="166" spans="1:18" x14ac:dyDescent="0.35">
      <c r="A166" s="157" t="str">
        <f>IF(Table2[[#This Row],[Unit ]]="","","3 Bedroom")</f>
        <v>3 Bedroom</v>
      </c>
      <c r="B166" s="158" t="s">
        <v>21</v>
      </c>
      <c r="C166" s="159">
        <f>'Launches Residences'!D63</f>
        <v>5501</v>
      </c>
      <c r="D166" s="160" t="str">
        <f>LEFT(Table2[[#This Row],[Unit ]],2)</f>
        <v>55</v>
      </c>
      <c r="E166" s="161">
        <f>IF(Table2[[#This Row],[Unit ]]="","",_xlfn.XLOOKUP(Table2[[#This Row],[Type]],'Muraba Veil Sale Summary'!A:A,'Muraba Veil Sale Summary'!P:P))</f>
        <v>2</v>
      </c>
      <c r="F166" s="162">
        <f>IF(Table2[[#This Row],[Unit ]]="","",_xlfn.XLOOKUP(Table2[[#This Row],[Type]],'Muraba Veil Sale Summary'!$A:$A,'Muraba Veil Sale Summary'!F:F))</f>
        <v>2880.5300621440001</v>
      </c>
      <c r="G166" s="162">
        <f>IF(Table2[[#This Row],[Unit ]]="","",_xlfn.XLOOKUP(Table2[[#This Row],[Type]],'Muraba Veil Sale Summary'!$A:$A,'Muraba Veil Sale Summary'!G:G))</f>
        <v>2058.9207813120001</v>
      </c>
      <c r="H166" s="162">
        <f t="shared" si="19"/>
        <v>4939.4508434560003</v>
      </c>
      <c r="I166" s="163">
        <f>'Launches Residences'!$U$7</f>
        <v>0.3</v>
      </c>
      <c r="J166" s="162">
        <f>IF(Table2[[#This Row],[Unit ]]="","",F166+(G166*Table2[[#This Row],[Terrace Area]]))</f>
        <v>3498.2062965375999</v>
      </c>
      <c r="K166" s="8">
        <f>IF(Table2[[#This Row],[Unit ]]="","",'Launches Residences'!H63)</f>
        <v>10500</v>
      </c>
      <c r="L166" s="8">
        <f t="shared" si="20"/>
        <v>36731166.113644801</v>
      </c>
      <c r="M166" s="3">
        <f>Table2[[#This Row],[Price/Sq.ft]]</f>
        <v>10500</v>
      </c>
      <c r="N166" s="8" t="e">
        <f>VLOOKUP(Table2[[#This Row],[Unit ]],'[1]Muraba Unit Wise Details '!$C$4:$L$67,10,FALSE)</f>
        <v>#N/A</v>
      </c>
      <c r="O166" s="8" t="e">
        <f>Table2[[#This Row],[Column2]]-Table2[[#This Row],[Price]]</f>
        <v>#N/A</v>
      </c>
      <c r="P166" s="209">
        <f>Table2[[#This Row],[Price]]/Table2[[#This Row],[Total Area
(Sq.ft)]]</f>
        <v>7436.2853842968898</v>
      </c>
      <c r="Q166" s="162">
        <f>Table2[[#This Row],[Price]]/Table2[[#This Row],[Sellable Area
(Sq. ft)]]</f>
        <v>10500</v>
      </c>
      <c r="R166" s="209"/>
    </row>
    <row r="167" spans="1:18" x14ac:dyDescent="0.35">
      <c r="A167" s="157" t="str">
        <f>IF(Table2[[#This Row],[Unit ]]="","","3 Bedroom")</f>
        <v>3 Bedroom</v>
      </c>
      <c r="B167" s="158" t="s">
        <v>21</v>
      </c>
      <c r="C167" s="159">
        <f>'Launches Residences'!D64</f>
        <v>5601</v>
      </c>
      <c r="D167" s="160" t="str">
        <f>LEFT(Table2[[#This Row],[Unit ]],2)</f>
        <v>56</v>
      </c>
      <c r="E167" s="161">
        <f>IF(Table2[[#This Row],[Unit ]]="","",_xlfn.XLOOKUP(Table2[[#This Row],[Type]],'Muraba Veil Sale Summary'!A:A,'Muraba Veil Sale Summary'!P:P))</f>
        <v>2</v>
      </c>
      <c r="F167" s="162">
        <f>IF(Table2[[#This Row],[Unit ]]="","",_xlfn.XLOOKUP(Table2[[#This Row],[Type]],'Muraba Veil Sale Summary'!$A:$A,'Muraba Veil Sale Summary'!F:F))</f>
        <v>2880.5300621440001</v>
      </c>
      <c r="G167" s="162">
        <f>IF(Table2[[#This Row],[Unit ]]="","",_xlfn.XLOOKUP(Table2[[#This Row],[Type]],'Muraba Veil Sale Summary'!$A:$A,'Muraba Veil Sale Summary'!G:G))</f>
        <v>2058.9207813120001</v>
      </c>
      <c r="H167" s="162">
        <f t="shared" si="19"/>
        <v>4939.4508434560003</v>
      </c>
      <c r="I167" s="163">
        <f>'Launches Residences'!$U$7</f>
        <v>0.3</v>
      </c>
      <c r="J167" s="162">
        <f>IF(Table2[[#This Row],[Unit ]]="","",F167+(G167*Table2[[#This Row],[Terrace Area]]))</f>
        <v>3498.2062965375999</v>
      </c>
      <c r="K167" s="8">
        <f>IF(Table2[[#This Row],[Unit ]]="","",'Launches Residences'!H64)</f>
        <v>10650</v>
      </c>
      <c r="L167" s="8">
        <f t="shared" si="20"/>
        <v>37255897.058125436</v>
      </c>
      <c r="M167" s="3">
        <f>Table2[[#This Row],[Price/Sq.ft]]</f>
        <v>10650</v>
      </c>
      <c r="N167" s="8" t="e">
        <f>VLOOKUP(Table2[[#This Row],[Unit ]],'[1]Muraba Unit Wise Details '!$C$4:$L$67,10,FALSE)</f>
        <v>#N/A</v>
      </c>
      <c r="O167" s="8" t="e">
        <f>Table2[[#This Row],[Column2]]-Table2[[#This Row],[Price]]</f>
        <v>#N/A</v>
      </c>
      <c r="P167" s="209">
        <f>Table2[[#This Row],[Price]]/Table2[[#This Row],[Total Area
(Sq.ft)]]</f>
        <v>7542.5180326439877</v>
      </c>
      <c r="Q167" s="162">
        <f>Table2[[#This Row],[Price]]/Table2[[#This Row],[Sellable Area
(Sq. ft)]]</f>
        <v>10650</v>
      </c>
      <c r="R167" s="209"/>
    </row>
    <row r="168" spans="1:18" x14ac:dyDescent="0.35">
      <c r="A168" s="157" t="str">
        <f>IF(Table2[[#This Row],[Unit ]]="","","3 Bedroom")</f>
        <v>3 Bedroom</v>
      </c>
      <c r="B168" s="158" t="s">
        <v>21</v>
      </c>
      <c r="C168" s="159">
        <f>'Launches Residences'!D65</f>
        <v>5701</v>
      </c>
      <c r="D168" s="160" t="str">
        <f>LEFT(Table2[[#This Row],[Unit ]],2)</f>
        <v>57</v>
      </c>
      <c r="E168" s="161">
        <f>IF(Table2[[#This Row],[Unit ]]="","",_xlfn.XLOOKUP(Table2[[#This Row],[Type]],'Muraba Veil Sale Summary'!A:A,'Muraba Veil Sale Summary'!P:P))</f>
        <v>2</v>
      </c>
      <c r="F168" s="162">
        <f>IF(Table2[[#This Row],[Unit ]]="","",_xlfn.XLOOKUP(Table2[[#This Row],[Type]],'Muraba Veil Sale Summary'!$A:$A,'Muraba Veil Sale Summary'!F:F))</f>
        <v>2880.5300621440001</v>
      </c>
      <c r="G168" s="162">
        <f>IF(Table2[[#This Row],[Unit ]]="","",_xlfn.XLOOKUP(Table2[[#This Row],[Type]],'Muraba Veil Sale Summary'!$A:$A,'Muraba Veil Sale Summary'!G:G))</f>
        <v>2058.9207813120001</v>
      </c>
      <c r="H168" s="162">
        <f t="shared" si="19"/>
        <v>4939.4508434560003</v>
      </c>
      <c r="I168" s="163">
        <f>'Launches Residences'!$U$7</f>
        <v>0.3</v>
      </c>
      <c r="J168" s="162">
        <f>IF(Table2[[#This Row],[Unit ]]="","",F168+(G168*Table2[[#This Row],[Terrace Area]]))</f>
        <v>3498.2062965375999</v>
      </c>
      <c r="K168" s="8">
        <f>IF(Table2[[#This Row],[Unit ]]="","",'Launches Residences'!H65)</f>
        <v>10800</v>
      </c>
      <c r="L168" s="8">
        <f t="shared" si="20"/>
        <v>37780628.002606079</v>
      </c>
      <c r="M168" s="3">
        <f>Table2[[#This Row],[Price/Sq.ft]]</f>
        <v>10800</v>
      </c>
      <c r="N168" s="8" t="e">
        <f>VLOOKUP(Table2[[#This Row],[Unit ]],'[1]Muraba Unit Wise Details '!$C$4:$L$67,10,FALSE)</f>
        <v>#N/A</v>
      </c>
      <c r="O168" s="8" t="e">
        <f>Table2[[#This Row],[Column2]]-Table2[[#This Row],[Price]]</f>
        <v>#N/A</v>
      </c>
      <c r="P168" s="209">
        <f>Table2[[#This Row],[Price]]/Table2[[#This Row],[Total Area
(Sq.ft)]]</f>
        <v>7648.7506809910865</v>
      </c>
      <c r="Q168" s="162">
        <f>Table2[[#This Row],[Price]]/Table2[[#This Row],[Sellable Area
(Sq. ft)]]</f>
        <v>10800</v>
      </c>
      <c r="R168" s="209"/>
    </row>
    <row r="169" spans="1:18" x14ac:dyDescent="0.35">
      <c r="A169" s="157" t="str">
        <f>IF(Table2[[#This Row],[Unit ]]="","","3 Bedroom")</f>
        <v>3 Bedroom</v>
      </c>
      <c r="B169" s="158" t="s">
        <v>21</v>
      </c>
      <c r="C169" s="159">
        <f>'Launches Residences'!D66</f>
        <v>5901</v>
      </c>
      <c r="D169" s="160" t="str">
        <f>LEFT(Table2[[#This Row],[Unit ]],2)</f>
        <v>59</v>
      </c>
      <c r="E169" s="161">
        <f>IF(Table2[[#This Row],[Unit ]]="","",_xlfn.XLOOKUP(Table2[[#This Row],[Type]],'Muraba Veil Sale Summary'!A:A,'Muraba Veil Sale Summary'!P:P))</f>
        <v>2</v>
      </c>
      <c r="F169" s="162">
        <f>IF(Table2[[#This Row],[Unit ]]="","",_xlfn.XLOOKUP(Table2[[#This Row],[Type]],'Muraba Veil Sale Summary'!$A:$A,'Muraba Veil Sale Summary'!F:F))</f>
        <v>2880.5300621440001</v>
      </c>
      <c r="G169" s="162">
        <f>IF(Table2[[#This Row],[Unit ]]="","",_xlfn.XLOOKUP(Table2[[#This Row],[Type]],'Muraba Veil Sale Summary'!$A:$A,'Muraba Veil Sale Summary'!G:G))</f>
        <v>2058.9207813120001</v>
      </c>
      <c r="H169" s="162">
        <f t="shared" si="19"/>
        <v>4939.4508434560003</v>
      </c>
      <c r="I169" s="163">
        <f>'Launches Residences'!$U$7</f>
        <v>0.3</v>
      </c>
      <c r="J169" s="162">
        <f>IF(Table2[[#This Row],[Unit ]]="","",F169+(G169*Table2[[#This Row],[Terrace Area]]))</f>
        <v>3498.2062965375999</v>
      </c>
      <c r="K169" s="8">
        <f>IF(Table2[[#This Row],[Unit ]]="","",'Launches Residences'!H66)</f>
        <v>10950</v>
      </c>
      <c r="L169" s="8">
        <f t="shared" si="20"/>
        <v>38305358.947086722</v>
      </c>
      <c r="M169" s="3">
        <f>Table2[[#This Row],[Price/Sq.ft]]</f>
        <v>10950</v>
      </c>
      <c r="N169" s="8" t="e">
        <f>VLOOKUP(Table2[[#This Row],[Unit ]],'[1]Muraba Unit Wise Details '!$C$4:$L$67,10,FALSE)</f>
        <v>#N/A</v>
      </c>
      <c r="O169" s="8" t="e">
        <f>Table2[[#This Row],[Column2]]-Table2[[#This Row],[Price]]</f>
        <v>#N/A</v>
      </c>
      <c r="P169" s="209">
        <f>Table2[[#This Row],[Price]]/Table2[[#This Row],[Total Area
(Sq.ft)]]</f>
        <v>7754.9833293381853</v>
      </c>
      <c r="Q169" s="162">
        <f>Table2[[#This Row],[Price]]/Table2[[#This Row],[Sellable Area
(Sq. ft)]]</f>
        <v>10950</v>
      </c>
      <c r="R169" s="209"/>
    </row>
    <row r="170" spans="1:18" x14ac:dyDescent="0.35">
      <c r="A170" s="157" t="str">
        <f>IF(Table2[[#This Row],[Unit ]]="","","3 Bedroom")</f>
        <v/>
      </c>
      <c r="B170" s="158" t="s">
        <v>21</v>
      </c>
      <c r="C170" s="159" t="str">
        <f>'Launches Residences'!D67</f>
        <v/>
      </c>
      <c r="D170" s="160" t="str">
        <f>LEFT(Table2[[#This Row],[Unit ]],2)</f>
        <v/>
      </c>
      <c r="E170" s="161" t="str">
        <f>IF(Table2[[#This Row],[Unit ]]="","",_xlfn.XLOOKUP(Table2[[#This Row],[Type]],'Muraba Veil Sale Summary'!A:A,'Muraba Veil Sale Summary'!P:P))</f>
        <v/>
      </c>
      <c r="F170" s="162" t="str">
        <f>IF(Table2[[#This Row],[Unit ]]="","",_xlfn.XLOOKUP(Table2[[#This Row],[Type]],'Muraba Veil Sale Summary'!$A:$A,'Muraba Veil Sale Summary'!F:F))</f>
        <v/>
      </c>
      <c r="G170" s="162" t="str">
        <f>IF(Table2[[#This Row],[Unit ]]="","",_xlfn.XLOOKUP(Table2[[#This Row],[Type]],'Muraba Veil Sale Summary'!$A:$A,'Muraba Veil Sale Summary'!G:G))</f>
        <v/>
      </c>
      <c r="H170" s="162">
        <f t="shared" si="19"/>
        <v>0</v>
      </c>
      <c r="I170" s="163">
        <f>'Launches Residences'!$U$7</f>
        <v>0.3</v>
      </c>
      <c r="J170" s="162" t="str">
        <f>IF(Table2[[#This Row],[Unit ]]="","",F170+(G170*Table2[[#This Row],[Terrace Area]]))</f>
        <v/>
      </c>
      <c r="K170" s="8" t="str">
        <f>IF(Table2[[#This Row],[Unit ]]="","",'Launches Residences'!H67)</f>
        <v/>
      </c>
      <c r="L170" s="8">
        <f t="shared" si="20"/>
        <v>0</v>
      </c>
      <c r="M170" s="3" t="str">
        <f>Table2[[#This Row],[Price/Sq.ft]]</f>
        <v/>
      </c>
      <c r="N170" s="8" t="e">
        <f>VLOOKUP(Table2[[#This Row],[Unit ]],'[1]Muraba Unit Wise Details '!$C$4:$L$67,10,FALSE)</f>
        <v>#N/A</v>
      </c>
      <c r="O170" s="8" t="e">
        <f>Table2[[#This Row],[Column2]]-Table2[[#This Row],[Price]]</f>
        <v>#N/A</v>
      </c>
      <c r="P170" s="209" t="e">
        <f>Table2[[#This Row],[Price]]/Table2[[#This Row],[Total Area
(Sq.ft)]]</f>
        <v>#DIV/0!</v>
      </c>
      <c r="Q170" s="209" t="e">
        <f>Table2[[#This Row],[Price]]/Table2[[#This Row],[Sellable Area
(Sq. ft)]]</f>
        <v>#VALUE!</v>
      </c>
      <c r="R170" s="209"/>
    </row>
    <row r="171" spans="1:18" x14ac:dyDescent="0.35">
      <c r="A171" s="157" t="str">
        <f>IF(Table2[[#This Row],[Unit ]]="","","3 Bedroom")</f>
        <v/>
      </c>
      <c r="B171" s="158" t="s">
        <v>21</v>
      </c>
      <c r="C171" s="159" t="str">
        <f>'Launches Residences'!D68</f>
        <v/>
      </c>
      <c r="D171" s="160" t="str">
        <f>LEFT(Table2[[#This Row],[Unit ]],2)</f>
        <v/>
      </c>
      <c r="E171" s="161" t="str">
        <f>IF(Table2[[#This Row],[Unit ]]="","",_xlfn.XLOOKUP(Table2[[#This Row],[Type]],'Muraba Veil Sale Summary'!A:A,'Muraba Veil Sale Summary'!P:P))</f>
        <v/>
      </c>
      <c r="F171" s="162" t="str">
        <f>IF(Table2[[#This Row],[Unit ]]="","",_xlfn.XLOOKUP(Table2[[#This Row],[Type]],'Muraba Veil Sale Summary'!$A:$A,'Muraba Veil Sale Summary'!F:F))</f>
        <v/>
      </c>
      <c r="G171" s="162" t="str">
        <f>IF(Table2[[#This Row],[Unit ]]="","",_xlfn.XLOOKUP(Table2[[#This Row],[Type]],'Muraba Veil Sale Summary'!$A:$A,'Muraba Veil Sale Summary'!G:G))</f>
        <v/>
      </c>
      <c r="H171" s="162">
        <f t="shared" si="19"/>
        <v>0</v>
      </c>
      <c r="I171" s="163">
        <f>'Launches Residences'!$U$7</f>
        <v>0.3</v>
      </c>
      <c r="J171" s="162" t="str">
        <f>IF(Table2[[#This Row],[Unit ]]="","",F171+(G171*Table2[[#This Row],[Terrace Area]]))</f>
        <v/>
      </c>
      <c r="K171" s="8" t="str">
        <f>IF(Table2[[#This Row],[Unit ]]="","",'Launches Residences'!H68)</f>
        <v/>
      </c>
      <c r="L171" s="8">
        <f t="shared" si="20"/>
        <v>0</v>
      </c>
      <c r="M171" s="3" t="str">
        <f>Table2[[#This Row],[Price/Sq.ft]]</f>
        <v/>
      </c>
      <c r="N171" s="8" t="e">
        <f>VLOOKUP(Table2[[#This Row],[Unit ]],'[1]Muraba Unit Wise Details '!$C$4:$L$67,10,FALSE)</f>
        <v>#N/A</v>
      </c>
      <c r="O171" s="8" t="e">
        <f>Table2[[#This Row],[Column2]]-Table2[[#This Row],[Price]]</f>
        <v>#N/A</v>
      </c>
      <c r="P171" s="209" t="e">
        <f>Table2[[#This Row],[Price]]/Table2[[#This Row],[Total Area
(Sq.ft)]]</f>
        <v>#DIV/0!</v>
      </c>
      <c r="Q171" s="209" t="e">
        <f>Table2[[#This Row],[Price]]/Table2[[#This Row],[Sellable Area
(Sq. ft)]]</f>
        <v>#VALUE!</v>
      </c>
      <c r="R171" s="209"/>
    </row>
    <row r="172" spans="1:18" x14ac:dyDescent="0.35">
      <c r="A172" s="157" t="str">
        <f>IF(Table2[[#This Row],[Unit ]]="","","3 Bedroom")</f>
        <v/>
      </c>
      <c r="B172" s="158" t="s">
        <v>21</v>
      </c>
      <c r="C172" s="159" t="str">
        <f>'Launches Residences'!D69</f>
        <v/>
      </c>
      <c r="D172" s="160" t="str">
        <f>LEFT(Table2[[#This Row],[Unit ]],2)</f>
        <v/>
      </c>
      <c r="E172" s="161" t="str">
        <f>IF(Table2[[#This Row],[Unit ]]="","",_xlfn.XLOOKUP(Table2[[#This Row],[Type]],'Muraba Veil Sale Summary'!A:A,'Muraba Veil Sale Summary'!P:P))</f>
        <v/>
      </c>
      <c r="F172" s="162" t="str">
        <f>IF(Table2[[#This Row],[Unit ]]="","",_xlfn.XLOOKUP(Table2[[#This Row],[Type]],'Muraba Veil Sale Summary'!$A:$A,'Muraba Veil Sale Summary'!F:F))</f>
        <v/>
      </c>
      <c r="G172" s="162" t="str">
        <f>IF(Table2[[#This Row],[Unit ]]="","",_xlfn.XLOOKUP(Table2[[#This Row],[Type]],'Muraba Veil Sale Summary'!$A:$A,'Muraba Veil Sale Summary'!G:G))</f>
        <v/>
      </c>
      <c r="H172" s="162">
        <f t="shared" si="19"/>
        <v>0</v>
      </c>
      <c r="I172" s="163">
        <f>'Launches Residences'!$U$7</f>
        <v>0.3</v>
      </c>
      <c r="J172" s="162" t="str">
        <f>IF(Table2[[#This Row],[Unit ]]="","",F172+(G172*Table2[[#This Row],[Terrace Area]]))</f>
        <v/>
      </c>
      <c r="K172" s="8" t="str">
        <f>IF(Table2[[#This Row],[Unit ]]="","",'Launches Residences'!H69)</f>
        <v/>
      </c>
      <c r="L172" s="8">
        <f t="shared" si="20"/>
        <v>0</v>
      </c>
      <c r="M172" s="3" t="str">
        <f>Table2[[#This Row],[Price/Sq.ft]]</f>
        <v/>
      </c>
      <c r="N172" s="8" t="e">
        <f>VLOOKUP(Table2[[#This Row],[Unit ]],'[1]Muraba Unit Wise Details '!$C$4:$L$67,10,FALSE)</f>
        <v>#N/A</v>
      </c>
      <c r="O172" s="8" t="e">
        <f>Table2[[#This Row],[Column2]]-Table2[[#This Row],[Price]]</f>
        <v>#N/A</v>
      </c>
      <c r="P172" s="209" t="e">
        <f>Table2[[#This Row],[Price]]/Table2[[#This Row],[Total Area
(Sq.ft)]]</f>
        <v>#DIV/0!</v>
      </c>
      <c r="Q172" s="209" t="e">
        <f>Table2[[#This Row],[Price]]/Table2[[#This Row],[Sellable Area
(Sq. ft)]]</f>
        <v>#VALUE!</v>
      </c>
      <c r="R172" s="209"/>
    </row>
    <row r="173" spans="1:18" x14ac:dyDescent="0.35">
      <c r="A173" s="157" t="str">
        <f>IF(Table2[[#This Row],[Unit ]]="","","3 Bedroom")</f>
        <v/>
      </c>
      <c r="B173" s="158" t="s">
        <v>21</v>
      </c>
      <c r="C173" s="159" t="str">
        <f>'Launches Residences'!D70</f>
        <v/>
      </c>
      <c r="D173" s="160" t="str">
        <f>LEFT(Table2[[#This Row],[Unit ]],2)</f>
        <v/>
      </c>
      <c r="E173" s="161" t="str">
        <f>IF(Table2[[#This Row],[Unit ]]="","",_xlfn.XLOOKUP(Table2[[#This Row],[Type]],'Muraba Veil Sale Summary'!A:A,'Muraba Veil Sale Summary'!P:P))</f>
        <v/>
      </c>
      <c r="F173" s="162" t="str">
        <f>IF(Table2[[#This Row],[Unit ]]="","",_xlfn.XLOOKUP(Table2[[#This Row],[Type]],'Muraba Veil Sale Summary'!$A:$A,'Muraba Veil Sale Summary'!F:F))</f>
        <v/>
      </c>
      <c r="G173" s="162" t="str">
        <f>IF(Table2[[#This Row],[Unit ]]="","",_xlfn.XLOOKUP(Table2[[#This Row],[Type]],'Muraba Veil Sale Summary'!$A:$A,'Muraba Veil Sale Summary'!G:G))</f>
        <v/>
      </c>
      <c r="H173" s="162">
        <f t="shared" si="19"/>
        <v>0</v>
      </c>
      <c r="I173" s="163">
        <f>'Launches Residences'!$U$7</f>
        <v>0.3</v>
      </c>
      <c r="J173" s="162" t="str">
        <f>IF(Table2[[#This Row],[Unit ]]="","",F173+(G173*Table2[[#This Row],[Terrace Area]]))</f>
        <v/>
      </c>
      <c r="K173" s="8" t="str">
        <f>IF(Table2[[#This Row],[Unit ]]="","",'Launches Residences'!H70)</f>
        <v/>
      </c>
      <c r="L173" s="8">
        <f t="shared" si="20"/>
        <v>0</v>
      </c>
      <c r="M173" s="3" t="str">
        <f>Table2[[#This Row],[Price/Sq.ft]]</f>
        <v/>
      </c>
      <c r="N173" s="8" t="e">
        <f>VLOOKUP(Table2[[#This Row],[Unit ]],'[1]Muraba Unit Wise Details '!$C$4:$L$67,10,FALSE)</f>
        <v>#N/A</v>
      </c>
      <c r="O173" s="8" t="e">
        <f>Table2[[#This Row],[Column2]]-Table2[[#This Row],[Price]]</f>
        <v>#N/A</v>
      </c>
      <c r="P173" s="209" t="e">
        <f>Table2[[#This Row],[Price]]/Table2[[#This Row],[Total Area
(Sq.ft)]]</f>
        <v>#DIV/0!</v>
      </c>
      <c r="Q173" s="209" t="e">
        <f>Table2[[#This Row],[Price]]/Table2[[#This Row],[Sellable Area
(Sq. ft)]]</f>
        <v>#VALUE!</v>
      </c>
      <c r="R173" s="209"/>
    </row>
    <row r="174" spans="1:18" x14ac:dyDescent="0.35">
      <c r="A174" s="157" t="str">
        <f>IF(Table2[[#This Row],[Unit ]]="","","3 Bedroom")</f>
        <v/>
      </c>
      <c r="B174" s="158" t="s">
        <v>21</v>
      </c>
      <c r="C174" s="159" t="str">
        <f>'Launches Residences'!D71</f>
        <v/>
      </c>
      <c r="D174" s="160" t="str">
        <f>LEFT(Table2[[#This Row],[Unit ]],2)</f>
        <v/>
      </c>
      <c r="E174" s="161" t="str">
        <f>IF(Table2[[#This Row],[Unit ]]="","",_xlfn.XLOOKUP(Table2[[#This Row],[Type]],'Muraba Veil Sale Summary'!A:A,'Muraba Veil Sale Summary'!P:P))</f>
        <v/>
      </c>
      <c r="F174" s="162" t="str">
        <f>IF(Table2[[#This Row],[Unit ]]="","",_xlfn.XLOOKUP(Table2[[#This Row],[Type]],'Muraba Veil Sale Summary'!$A:$A,'Muraba Veil Sale Summary'!F:F))</f>
        <v/>
      </c>
      <c r="G174" s="162" t="str">
        <f>IF(Table2[[#This Row],[Unit ]]="","",_xlfn.XLOOKUP(Table2[[#This Row],[Type]],'Muraba Veil Sale Summary'!$A:$A,'Muraba Veil Sale Summary'!G:G))</f>
        <v/>
      </c>
      <c r="H174" s="162">
        <f t="shared" si="19"/>
        <v>0</v>
      </c>
      <c r="I174" s="163">
        <f>'Launches Residences'!$U$7</f>
        <v>0.3</v>
      </c>
      <c r="J174" s="162" t="str">
        <f>IF(Table2[[#This Row],[Unit ]]="","",F174+(G174*Table2[[#This Row],[Terrace Area]]))</f>
        <v/>
      </c>
      <c r="K174" s="8" t="str">
        <f>IF(Table2[[#This Row],[Unit ]]="","",'Launches Residences'!H71)</f>
        <v/>
      </c>
      <c r="L174" s="8">
        <f t="shared" si="20"/>
        <v>0</v>
      </c>
      <c r="M174" s="3" t="str">
        <f>Table2[[#This Row],[Price/Sq.ft]]</f>
        <v/>
      </c>
      <c r="N174" s="8" t="e">
        <f>VLOOKUP(Table2[[#This Row],[Unit ]],'[1]Muraba Unit Wise Details '!$C$4:$L$67,10,FALSE)</f>
        <v>#N/A</v>
      </c>
      <c r="O174" s="8" t="e">
        <f>Table2[[#This Row],[Column2]]-Table2[[#This Row],[Price]]</f>
        <v>#N/A</v>
      </c>
      <c r="P174" s="209" t="e">
        <f>Table2[[#This Row],[Price]]/Table2[[#This Row],[Total Area
(Sq.ft)]]</f>
        <v>#DIV/0!</v>
      </c>
      <c r="Q174" s="209" t="e">
        <f>Table2[[#This Row],[Price]]/Table2[[#This Row],[Sellable Area
(Sq. ft)]]</f>
        <v>#VALUE!</v>
      </c>
      <c r="R174" s="209"/>
    </row>
    <row r="175" spans="1:18" x14ac:dyDescent="0.35">
      <c r="A175" s="165" t="str">
        <f>IF(Table2[[#This Row],[Unit ]]="","","3 Bedroom Pool")</f>
        <v>3 Bedroom Pool</v>
      </c>
      <c r="B175" s="166" t="s">
        <v>19</v>
      </c>
      <c r="C175" s="165">
        <f>'Launches   XL   SX   DX'!C20</f>
        <v>6001</v>
      </c>
      <c r="D175" s="167" t="str">
        <f>LEFT(Table2[[#This Row],[Unit ]],2)</f>
        <v>60</v>
      </c>
      <c r="E175" s="168">
        <f>IF(Table2[[#This Row],[Unit ]]="","",_xlfn.XLOOKUP(Table2[[#This Row],[Type]],'Muraba Veil Sale Summary'!A:A,'Muraba Veil Sale Summary'!P:P))</f>
        <v>2</v>
      </c>
      <c r="F175" s="169">
        <f>IF(Table2[[#This Row],[Unit ]]="","",_xlfn.XLOOKUP(Table2[[#This Row],[Type]],'Muraba Veil Sale Summary'!$A:$A,'Muraba Veil Sale Summary'!F:F))</f>
        <v>2880.5300621440001</v>
      </c>
      <c r="G175" s="169">
        <f>IF(Table2[[#This Row],[Unit ]]="","",_xlfn.XLOOKUP(Table2[[#This Row],[Type]],'Muraba Veil Sale Summary'!$A:$A,'Muraba Veil Sale Summary'!G:G))</f>
        <v>2059.243698624</v>
      </c>
      <c r="H175" s="169">
        <f t="shared" si="15"/>
        <v>4939.7737607680001</v>
      </c>
      <c r="I175" s="170">
        <f>'Launches   XL   SX   DX'!$Q$8</f>
        <v>0.65</v>
      </c>
      <c r="J175" s="169">
        <f>IF(Table2[[#This Row],[Unit ]]="","",F175+(G175*Table2[[#This Row],[Terrace Area]]))</f>
        <v>4219.0384662495999</v>
      </c>
      <c r="K175" s="171">
        <f>IF(Table2[[#This Row],[Unit ]]="","",'Launches   XL   SX   DX'!F20)</f>
        <v>7096.541176268267</v>
      </c>
      <c r="L175" s="171">
        <v>29940580.199999999</v>
      </c>
      <c r="M175" s="172">
        <f>Table2[[#This Row],[Price/Sq.ft]]</f>
        <v>7096.541176268267</v>
      </c>
      <c r="N175" s="8" t="e">
        <f>VLOOKUP(Table2[[#This Row],[Unit ]],'[1]Muraba Unit Wise Details '!$C$4:$L$67,10,FALSE)</f>
        <v>#N/A</v>
      </c>
      <c r="O175" s="8" t="e">
        <f>Table2[[#This Row],[Column2]]-Table2[[#This Row],[Price]]</f>
        <v>#N/A</v>
      </c>
      <c r="P175" s="209">
        <f>Table2[[#This Row],[Price]]/Table2[[#This Row],[Total Area
(Sq.ft)]]</f>
        <v>6061.1237781353484</v>
      </c>
      <c r="Q175" s="209">
        <f>Table2[[#This Row],[Price]]/Table2[[#This Row],[Sellable Area
(Sq. ft)]]</f>
        <v>7096.541176268267</v>
      </c>
      <c r="R175" s="209"/>
    </row>
    <row r="176" spans="1:18" x14ac:dyDescent="0.35">
      <c r="A176" s="165" t="str">
        <f>IF(Table2[[#This Row],[Unit ]]="","","3 Bedroom Pool")</f>
        <v>3 Bedroom Pool</v>
      </c>
      <c r="B176" s="166" t="s">
        <v>19</v>
      </c>
      <c r="C176" s="165">
        <f>'Launches   XL   SX   DX'!C21</f>
        <v>6101</v>
      </c>
      <c r="D176" s="167" t="str">
        <f>LEFT(Table2[[#This Row],[Unit ]],2)</f>
        <v>61</v>
      </c>
      <c r="E176" s="168">
        <f>IF(Table2[[#This Row],[Unit ]]="","",_xlfn.XLOOKUP(Table2[[#This Row],[Type]],'Muraba Veil Sale Summary'!A:A,'Muraba Veil Sale Summary'!P:P))</f>
        <v>2</v>
      </c>
      <c r="F176" s="169">
        <f>IF(Table2[[#This Row],[Unit ]]="","",_xlfn.XLOOKUP(Table2[[#This Row],[Type]],'Muraba Veil Sale Summary'!$A:$A,'Muraba Veil Sale Summary'!F:F))</f>
        <v>2880.5300621440001</v>
      </c>
      <c r="G176" s="169">
        <f>IF(Table2[[#This Row],[Unit ]]="","",_xlfn.XLOOKUP(Table2[[#This Row],[Type]],'Muraba Veil Sale Summary'!$A:$A,'Muraba Veil Sale Summary'!G:G))</f>
        <v>2059.243698624</v>
      </c>
      <c r="H176" s="169">
        <f t="shared" si="15"/>
        <v>4939.7737607680001</v>
      </c>
      <c r="I176" s="170">
        <v>0.65</v>
      </c>
      <c r="J176" s="169">
        <f>IF(Table2[[#This Row],[Unit ]]="","",F176+(G176*Table2[[#This Row],[Terrace Area]]))</f>
        <v>4219.0384662495999</v>
      </c>
      <c r="K176" s="171">
        <f>IF(Table2[[#This Row],[Unit ]]="","",'Launches   XL   SX   DX'!F21)</f>
        <v>7200.9020759192699</v>
      </c>
      <c r="L176" s="171">
        <v>30380882.849999998</v>
      </c>
      <c r="M176" s="172">
        <f>Table2[[#This Row],[Price/Sq.ft]]</f>
        <v>7200.9020759192699</v>
      </c>
      <c r="N176" s="8" t="e">
        <f>VLOOKUP(Table2[[#This Row],[Unit ]],'[1]Muraba Unit Wise Details '!$C$4:$L$67,10,FALSE)</f>
        <v>#N/A</v>
      </c>
      <c r="O176" s="8" t="e">
        <f>Table2[[#This Row],[Column2]]-Table2[[#This Row],[Price]]</f>
        <v>#N/A</v>
      </c>
      <c r="P176" s="209">
        <f>Table2[[#This Row],[Price]]/Table2[[#This Row],[Total Area
(Sq.ft)]]</f>
        <v>6150.2579513432211</v>
      </c>
      <c r="Q176" s="209">
        <f>Table2[[#This Row],[Price]]/Table2[[#This Row],[Sellable Area
(Sq. ft)]]</f>
        <v>7200.9020759192699</v>
      </c>
      <c r="R176" s="209"/>
    </row>
    <row r="177" spans="1:18" x14ac:dyDescent="0.35">
      <c r="A177" s="165" t="str">
        <f>IF(Table2[[#This Row],[Unit ]]="","","3 Bedroom Pool")</f>
        <v>3 Bedroom Pool</v>
      </c>
      <c r="B177" s="166" t="s">
        <v>19</v>
      </c>
      <c r="C177" s="165">
        <f>'Launches   XL   SX   DX'!C22</f>
        <v>6301</v>
      </c>
      <c r="D177" s="167" t="str">
        <f>LEFT(Table2[[#This Row],[Unit ]],2)</f>
        <v>63</v>
      </c>
      <c r="E177" s="168">
        <f>IF(Table2[[#This Row],[Unit ]]="","",_xlfn.XLOOKUP(Table2[[#This Row],[Type]],'Muraba Veil Sale Summary'!A:A,'Muraba Veil Sale Summary'!P:P))</f>
        <v>2</v>
      </c>
      <c r="F177" s="169">
        <f>IF(Table2[[#This Row],[Unit ]]="","",_xlfn.XLOOKUP(Table2[[#This Row],[Type]],'Muraba Veil Sale Summary'!$A:$A,'Muraba Veil Sale Summary'!F:F))</f>
        <v>2880.5300621440001</v>
      </c>
      <c r="G177" s="169">
        <f>IF(Table2[[#This Row],[Unit ]]="","",_xlfn.XLOOKUP(Table2[[#This Row],[Type]],'Muraba Veil Sale Summary'!$A:$A,'Muraba Veil Sale Summary'!G:G))</f>
        <v>2059.243698624</v>
      </c>
      <c r="H177" s="169">
        <f t="shared" ref="H177:H202" si="21">IFERROR(F177+G177,0)</f>
        <v>4939.7737607680001</v>
      </c>
      <c r="I177" s="170">
        <v>0.65</v>
      </c>
      <c r="J177" s="169">
        <f>IF(Table2[[#This Row],[Unit ]]="","",F177+(G177*Table2[[#This Row],[Terrace Area]]))</f>
        <v>4219.0384662495999</v>
      </c>
      <c r="K177" s="171">
        <f>IF(Table2[[#This Row],[Unit ]]="","",'Launches   XL   SX   DX'!F22)</f>
        <v>7287.1561474234104</v>
      </c>
      <c r="L177" s="171">
        <v>30744792.095546607</v>
      </c>
      <c r="M177" s="172">
        <f>Table2[[#This Row],[Price/Sq.ft]]</f>
        <v>7287.1561474234104</v>
      </c>
      <c r="N177" s="8" t="e">
        <f>VLOOKUP(Table2[[#This Row],[Unit ]],'[1]Muraba Unit Wise Details '!$C$4:$L$67,10,FALSE)</f>
        <v>#N/A</v>
      </c>
      <c r="O177" s="8" t="e">
        <f>Table2[[#This Row],[Column2]]-Table2[[#This Row],[Price]]</f>
        <v>#N/A</v>
      </c>
      <c r="P177" s="209">
        <f>Table2[[#This Row],[Price]]/Table2[[#This Row],[Total Area
(Sq.ft)]]</f>
        <v>6223.9271643822467</v>
      </c>
      <c r="Q177" s="209">
        <f>Table2[[#This Row],[Price]]/Table2[[#This Row],[Sellable Area
(Sq. ft)]]</f>
        <v>7287.1561474234104</v>
      </c>
      <c r="R177" s="209"/>
    </row>
    <row r="178" spans="1:18" x14ac:dyDescent="0.35">
      <c r="A178" s="165" t="str">
        <f>IF(Table2[[#This Row],[Unit ]]="","","3 Bedroom Pool")</f>
        <v>3 Bedroom Pool</v>
      </c>
      <c r="B178" s="166" t="s">
        <v>19</v>
      </c>
      <c r="C178" s="165">
        <f>'Launches   XL   SX   DX'!C23</f>
        <v>6401</v>
      </c>
      <c r="D178" s="167" t="str">
        <f>LEFT(Table2[[#This Row],[Unit ]],2)</f>
        <v>64</v>
      </c>
      <c r="E178" s="168">
        <f>IF(Table2[[#This Row],[Unit ]]="","",_xlfn.XLOOKUP(Table2[[#This Row],[Type]],'Muraba Veil Sale Summary'!A:A,'Muraba Veil Sale Summary'!P:P))</f>
        <v>2</v>
      </c>
      <c r="F178" s="169">
        <f>IF(Table2[[#This Row],[Unit ]]="","",_xlfn.XLOOKUP(Table2[[#This Row],[Type]],'Muraba Veil Sale Summary'!$A:$A,'Muraba Veil Sale Summary'!F:F))</f>
        <v>2880.5300621440001</v>
      </c>
      <c r="G178" s="169">
        <f>IF(Table2[[#This Row],[Unit ]]="","",_xlfn.XLOOKUP(Table2[[#This Row],[Type]],'Muraba Veil Sale Summary'!$A:$A,'Muraba Veil Sale Summary'!G:G))</f>
        <v>2059.243698624</v>
      </c>
      <c r="H178" s="169">
        <f t="shared" si="21"/>
        <v>4939.7737607680001</v>
      </c>
      <c r="I178" s="170">
        <v>0.65</v>
      </c>
      <c r="J178" s="169">
        <f>IF(Table2[[#This Row],[Unit ]]="","",F178+(G178*Table2[[#This Row],[Terrace Area]]))</f>
        <v>4219.0384662495999</v>
      </c>
      <c r="K178" s="171">
        <f>IF(Table2[[#This Row],[Unit ]]="","",'Launches   XL   SX   DX'!F23)</f>
        <v>7213.4253440578914</v>
      </c>
      <c r="L178" s="171">
        <v>30433719</v>
      </c>
      <c r="M178" s="172">
        <f>Table2[[#This Row],[Price/Sq.ft]]</f>
        <v>7213.4253440578914</v>
      </c>
      <c r="N178" s="8" t="e">
        <f>VLOOKUP(Table2[[#This Row],[Unit ]],'[1]Muraba Unit Wise Details '!$C$4:$L$67,10,FALSE)</f>
        <v>#N/A</v>
      </c>
      <c r="O178" s="8" t="e">
        <f>Table2[[#This Row],[Column2]]-Table2[[#This Row],[Price]]</f>
        <v>#N/A</v>
      </c>
      <c r="P178" s="209">
        <f>Table2[[#This Row],[Price]]/Table2[[#This Row],[Total Area
(Sq.ft)]]</f>
        <v>6160.9540181185112</v>
      </c>
      <c r="Q178" s="209">
        <f>Table2[[#This Row],[Price]]/Table2[[#This Row],[Sellable Area
(Sq. ft)]]</f>
        <v>7213.4253440578914</v>
      </c>
      <c r="R178" s="209"/>
    </row>
    <row r="179" spans="1:18" x14ac:dyDescent="0.35">
      <c r="A179" s="165" t="str">
        <f>IF(Table2[[#This Row],[Unit ]]="","","3 Bedroom Pool")</f>
        <v>3 Bedroom Pool</v>
      </c>
      <c r="B179" s="166" t="s">
        <v>19</v>
      </c>
      <c r="C179" s="165">
        <f>'Launches   XL   SX   DX'!C24</f>
        <v>6501</v>
      </c>
      <c r="D179" s="167" t="str">
        <f>LEFT(Table2[[#This Row],[Unit ]],2)</f>
        <v>65</v>
      </c>
      <c r="E179" s="168">
        <f>IF(Table2[[#This Row],[Unit ]]="","",_xlfn.XLOOKUP(Table2[[#This Row],[Type]],'Muraba Veil Sale Summary'!A:A,'Muraba Veil Sale Summary'!P:P))</f>
        <v>2</v>
      </c>
      <c r="F179" s="169">
        <f>IF(Table2[[#This Row],[Unit ]]="","",_xlfn.XLOOKUP(Table2[[#This Row],[Type]],'Muraba Veil Sale Summary'!$A:$A,'Muraba Veil Sale Summary'!F:F))</f>
        <v>2880.5300621440001</v>
      </c>
      <c r="G179" s="169">
        <f>IF(Table2[[#This Row],[Unit ]]="","",_xlfn.XLOOKUP(Table2[[#This Row],[Type]],'Muraba Veil Sale Summary'!$A:$A,'Muraba Veil Sale Summary'!G:G))</f>
        <v>2059.243698624</v>
      </c>
      <c r="H179" s="169">
        <f t="shared" si="21"/>
        <v>4939.7737607680001</v>
      </c>
      <c r="I179" s="170">
        <v>0.65</v>
      </c>
      <c r="J179" s="169">
        <f>IF(Table2[[#This Row],[Unit ]]="","",F179+(G179*Table2[[#This Row],[Terrace Area]]))</f>
        <v>4219.0384662495999</v>
      </c>
      <c r="K179" s="171">
        <f>Table2[[#This Row],[Price]]/Table2[[#This Row],[Sellable Area
(Sq. ft)]]</f>
        <v>7827.0674738252874</v>
      </c>
      <c r="L179" s="171">
        <v>33022698.74999997</v>
      </c>
      <c r="M179" s="172">
        <f>Table2[[#This Row],[Price/Sq.ft]]</f>
        <v>7827.0674738252874</v>
      </c>
      <c r="N179" s="162" t="e">
        <f>VLOOKUP(Table2[[#This Row],[Unit ]],'[1]Muraba Unit Wise Details '!$C$4:$L$67,10,FALSE)</f>
        <v>#N/A</v>
      </c>
      <c r="O179" s="162" t="e">
        <f>Table2[[#This Row],[Column2]]-Table2[[#This Row],[Price]]</f>
        <v>#N/A</v>
      </c>
      <c r="P179" s="209">
        <f>Table2[[#This Row],[Price]]/Table2[[#This Row],[Total Area
(Sq.ft)]]</f>
        <v>6685.0629905904516</v>
      </c>
      <c r="Q179" s="209">
        <f>Table2[[#This Row],[Price]]/Table2[[#This Row],[Sellable Area
(Sq. ft)]]</f>
        <v>7827.0674738252874</v>
      </c>
      <c r="R179" s="209"/>
    </row>
    <row r="180" spans="1:18" x14ac:dyDescent="0.35">
      <c r="A180" s="173" t="str">
        <f>IF(Table2[[#This Row],[Unit ]]="","","3 Bedroom Pool")</f>
        <v>3 Bedroom Pool</v>
      </c>
      <c r="B180" s="166" t="s">
        <v>19</v>
      </c>
      <c r="C180" s="165">
        <f>'Launches   XL   SX   DX'!C25</f>
        <v>6601</v>
      </c>
      <c r="D180" s="167" t="str">
        <f>LEFT(Table2[[#This Row],[Unit ]],2)</f>
        <v>66</v>
      </c>
      <c r="E180" s="168">
        <f>IF(Table2[[#This Row],[Unit ]]="","",_xlfn.XLOOKUP(Table2[[#This Row],[Type]],'Muraba Veil Sale Summary'!A:A,'Muraba Veil Sale Summary'!P:P))</f>
        <v>2</v>
      </c>
      <c r="F180" s="169">
        <f>IF(Table2[[#This Row],[Unit ]]="","",_xlfn.XLOOKUP(Table2[[#This Row],[Type]],'Muraba Veil Sale Summary'!$A:$A,'Muraba Veil Sale Summary'!F:F))</f>
        <v>2880.5300621440001</v>
      </c>
      <c r="G180" s="169">
        <f>IF(Table2[[#This Row],[Unit ]]="","",_xlfn.XLOOKUP(Table2[[#This Row],[Type]],'Muraba Veil Sale Summary'!$A:$A,'Muraba Veil Sale Summary'!G:G))</f>
        <v>2059.243698624</v>
      </c>
      <c r="H180" s="169">
        <f t="shared" si="21"/>
        <v>4939.7737607680001</v>
      </c>
      <c r="I180" s="170">
        <v>0.65</v>
      </c>
      <c r="J180" s="169">
        <f>IF(Table2[[#This Row],[Unit ]]="","",F180+(G180*Table2[[#This Row],[Terrace Area]]))</f>
        <v>4219.0384662495999</v>
      </c>
      <c r="K180" s="171">
        <f>Table2[[#This Row],[Price]]/Table2[[#This Row],[Sellable Area
(Sq. ft)]]</f>
        <v>7931.4283734762903</v>
      </c>
      <c r="L180" s="171">
        <v>33463001.399999965</v>
      </c>
      <c r="M180" s="172">
        <f>Table2[[#This Row],[Price/Sq.ft]]</f>
        <v>7931.4283734762903</v>
      </c>
      <c r="N180" s="162" t="e">
        <f>VLOOKUP(Table2[[#This Row],[Unit ]],'[1]Muraba Unit Wise Details '!$C$4:$L$67,10,FALSE)</f>
        <v>#N/A</v>
      </c>
      <c r="O180" s="162" t="e">
        <f>Table2[[#This Row],[Column2]]-Table2[[#This Row],[Price]]</f>
        <v>#N/A</v>
      </c>
      <c r="P180" s="209">
        <f>Table2[[#This Row],[Price]]/Table2[[#This Row],[Total Area
(Sq.ft)]]</f>
        <v>6774.1971637983233</v>
      </c>
      <c r="Q180" s="209">
        <f>Table2[[#This Row],[Price]]/Table2[[#This Row],[Sellable Area
(Sq. ft)]]</f>
        <v>7931.4283734762903</v>
      </c>
      <c r="R180" s="209"/>
    </row>
    <row r="181" spans="1:18" x14ac:dyDescent="0.35">
      <c r="A181" s="165" t="str">
        <f>IF(Table2[[#This Row],[Unit ]]="","","3 Bedroom Pool")</f>
        <v>3 Bedroom Pool</v>
      </c>
      <c r="B181" s="166" t="s">
        <v>19</v>
      </c>
      <c r="C181" s="165">
        <f>'Launches   XL   SX   DX'!C26</f>
        <v>6801</v>
      </c>
      <c r="D181" s="167" t="str">
        <f>LEFT(Table2[[#This Row],[Unit ]],2)</f>
        <v>68</v>
      </c>
      <c r="E181" s="168">
        <f>IF(Table2[[#This Row],[Unit ]]="","",_xlfn.XLOOKUP(Table2[[#This Row],[Type]],'Muraba Veil Sale Summary'!A:A,'Muraba Veil Sale Summary'!P:P))</f>
        <v>2</v>
      </c>
      <c r="F181" s="169">
        <f>IF(Table2[[#This Row],[Unit ]]="","",_xlfn.XLOOKUP(Table2[[#This Row],[Type]],'Muraba Veil Sale Summary'!$A:$A,'Muraba Veil Sale Summary'!F:F))</f>
        <v>2880.5300621440001</v>
      </c>
      <c r="G181" s="169">
        <f>IF(Table2[[#This Row],[Unit ]]="","",_xlfn.XLOOKUP(Table2[[#This Row],[Type]],'Muraba Veil Sale Summary'!$A:$A,'Muraba Veil Sale Summary'!G:G))</f>
        <v>2059.243698624</v>
      </c>
      <c r="H181" s="169">
        <f t="shared" si="21"/>
        <v>4939.7737607680001</v>
      </c>
      <c r="I181" s="170">
        <v>0.65</v>
      </c>
      <c r="J181" s="169">
        <f>IF(Table2[[#This Row],[Unit ]]="","",F181+(G181*Table2[[#This Row],[Terrace Area]]))</f>
        <v>4219.0384662495999</v>
      </c>
      <c r="K181" s="171">
        <f>Table2[[#This Row],[Price]]/Table2[[#This Row],[Sellable Area
(Sq. ft)]]</f>
        <v>8035.7892731272923</v>
      </c>
      <c r="L181" s="171">
        <v>33903304.04999996</v>
      </c>
      <c r="M181" s="172">
        <f>Table2[[#This Row],[Price/Sq.ft]]</f>
        <v>8035.7892731272923</v>
      </c>
      <c r="N181" s="162" t="e">
        <f>VLOOKUP(Table2[[#This Row],[Unit ]],'[1]Muraba Unit Wise Details '!$C$4:$L$67,10,FALSE)</f>
        <v>#N/A</v>
      </c>
      <c r="O181" s="162" t="e">
        <f>Table2[[#This Row],[Column2]]-Table2[[#This Row],[Price]]</f>
        <v>#N/A</v>
      </c>
      <c r="P181" s="209">
        <f>Table2[[#This Row],[Price]]/Table2[[#This Row],[Total Area
(Sq.ft)]]</f>
        <v>6863.3313370061951</v>
      </c>
      <c r="Q181" s="209">
        <f>Table2[[#This Row],[Price]]/Table2[[#This Row],[Sellable Area
(Sq. ft)]]</f>
        <v>8035.7892731272923</v>
      </c>
      <c r="R181" s="209"/>
    </row>
    <row r="182" spans="1:18" x14ac:dyDescent="0.35">
      <c r="A182" s="159" t="str">
        <f>IF(Table2[[#This Row],[Unit ]]="","","3 Bedroom Pool")</f>
        <v/>
      </c>
      <c r="B182" s="158" t="s">
        <v>21</v>
      </c>
      <c r="C182" s="159" t="str">
        <f>'Launches   XL   SX   DX'!C27</f>
        <v/>
      </c>
      <c r="D182" s="160" t="str">
        <f>LEFT(Table2[[#This Row],[Unit ]],2)</f>
        <v/>
      </c>
      <c r="E182" s="161" t="str">
        <f>IF(Table2[[#This Row],[Unit ]]="","",_xlfn.XLOOKUP(Table2[[#This Row],[Type]],'Muraba Veil Sale Summary'!A:A,'Muraba Veil Sale Summary'!P:P))</f>
        <v/>
      </c>
      <c r="F182" s="162" t="str">
        <f>IF(Table2[[#This Row],[Unit ]]="","",_xlfn.XLOOKUP(Table2[[#This Row],[Type]],'Muraba Veil Sale Summary'!$A:$A,'Muraba Veil Sale Summary'!F:F))</f>
        <v/>
      </c>
      <c r="G182" s="162" t="str">
        <f>IF(Table2[[#This Row],[Unit ]]="","",_xlfn.XLOOKUP(Table2[[#This Row],[Type]],'Muraba Veil Sale Summary'!$A:$A,'Muraba Veil Sale Summary'!G:G))</f>
        <v/>
      </c>
      <c r="H182" s="162">
        <f t="shared" si="21"/>
        <v>0</v>
      </c>
      <c r="I182" s="163">
        <v>0.65</v>
      </c>
      <c r="J182" s="162" t="str">
        <f>IF(Table2[[#This Row],[Unit ]]="","",F182+(G182*Table2[[#This Row],[Terrace Area]]))</f>
        <v/>
      </c>
      <c r="K182" s="8" t="str">
        <f>IF(Table2[[#This Row],[Unit ]]="","",'Launches   XL   SX   DX'!F27)</f>
        <v/>
      </c>
      <c r="L182" s="8">
        <f t="shared" ref="L182:L198" si="22">IFERROR(J182*K182,0)</f>
        <v>0</v>
      </c>
      <c r="M182" s="3" t="str">
        <f>Table2[[#This Row],[Price/Sq.ft]]</f>
        <v/>
      </c>
      <c r="N182" s="162" t="e">
        <f>VLOOKUP(Table2[[#This Row],[Unit ]],'[1]Muraba Unit Wise Details '!$C$4:$L$67,10,FALSE)</f>
        <v>#N/A</v>
      </c>
      <c r="O182" s="162" t="e">
        <f>Table2[[#This Row],[Column2]]-Table2[[#This Row],[Price]]</f>
        <v>#N/A</v>
      </c>
      <c r="P182" s="209" t="e">
        <f>Table2[[#This Row],[Price]]/Table2[[#This Row],[Total Area
(Sq.ft)]]</f>
        <v>#DIV/0!</v>
      </c>
      <c r="Q182" s="209" t="e">
        <f>Table2[[#This Row],[Price]]/Table2[[#This Row],[Sellable Area
(Sq. ft)]]</f>
        <v>#VALUE!</v>
      </c>
      <c r="R182" s="209"/>
    </row>
    <row r="183" spans="1:18" x14ac:dyDescent="0.35">
      <c r="A183" s="159" t="str">
        <f>IF(Table2[[#This Row],[Unit ]]="","","3 Bedroom Pool")</f>
        <v/>
      </c>
      <c r="B183" s="158" t="s">
        <v>21</v>
      </c>
      <c r="C183" s="159" t="str">
        <f>'Launches   XL   SX   DX'!C28</f>
        <v/>
      </c>
      <c r="D183" s="160" t="str">
        <f>LEFT(Table2[[#This Row],[Unit ]],2)</f>
        <v/>
      </c>
      <c r="E183" s="161" t="str">
        <f>IF(Table2[[#This Row],[Unit ]]="","",_xlfn.XLOOKUP(Table2[[#This Row],[Type]],'Muraba Veil Sale Summary'!A:A,'Muraba Veil Sale Summary'!P:P))</f>
        <v/>
      </c>
      <c r="F183" s="162" t="str">
        <f>IF(Table2[[#This Row],[Unit ]]="","",_xlfn.XLOOKUP(Table2[[#This Row],[Type]],'Muraba Veil Sale Summary'!$A:$A,'Muraba Veil Sale Summary'!F:F))</f>
        <v/>
      </c>
      <c r="G183" s="162" t="str">
        <f>IF(Table2[[#This Row],[Unit ]]="","",_xlfn.XLOOKUP(Table2[[#This Row],[Type]],'Muraba Veil Sale Summary'!$A:$A,'Muraba Veil Sale Summary'!G:G))</f>
        <v/>
      </c>
      <c r="H183" s="162">
        <f t="shared" si="21"/>
        <v>0</v>
      </c>
      <c r="I183" s="163">
        <v>0.65</v>
      </c>
      <c r="J183" s="162" t="str">
        <f>IF(Table2[[#This Row],[Unit ]]="","",F183+(G183*Table2[[#This Row],[Terrace Area]]))</f>
        <v/>
      </c>
      <c r="K183" s="8" t="str">
        <f>IF(Table2[[#This Row],[Unit ]]="","",'Launches   XL   SX   DX'!F28)</f>
        <v/>
      </c>
      <c r="L183" s="8">
        <f t="shared" si="22"/>
        <v>0</v>
      </c>
      <c r="M183" s="3" t="str">
        <f>Table2[[#This Row],[Price/Sq.ft]]</f>
        <v/>
      </c>
      <c r="N183" s="162" t="e">
        <f>VLOOKUP(Table2[[#This Row],[Unit ]],'[1]Muraba Unit Wise Details '!$C$4:$L$67,10,FALSE)</f>
        <v>#N/A</v>
      </c>
      <c r="O183" s="162" t="e">
        <f>Table2[[#This Row],[Column2]]-Table2[[#This Row],[Price]]</f>
        <v>#N/A</v>
      </c>
      <c r="P183" s="209" t="e">
        <f>Table2[[#This Row],[Price]]/Table2[[#This Row],[Total Area
(Sq.ft)]]</f>
        <v>#DIV/0!</v>
      </c>
      <c r="Q183" s="209" t="e">
        <f>Table2[[#This Row],[Price]]/Table2[[#This Row],[Sellable Area
(Sq. ft)]]</f>
        <v>#VALUE!</v>
      </c>
      <c r="R183" s="209"/>
    </row>
    <row r="184" spans="1:18" x14ac:dyDescent="0.35">
      <c r="A184" s="159" t="str">
        <f>IF(Table2[[#This Row],[Unit ]]="","","3 Bedroom Pool")</f>
        <v/>
      </c>
      <c r="B184" s="158" t="s">
        <v>21</v>
      </c>
      <c r="C184" s="159" t="str">
        <f>'Launches   XL   SX   DX'!C29</f>
        <v/>
      </c>
      <c r="D184" s="160" t="str">
        <f>LEFT(Table2[[#This Row],[Unit ]],2)</f>
        <v/>
      </c>
      <c r="E184" s="161" t="str">
        <f>IF(Table2[[#This Row],[Unit ]]="","",_xlfn.XLOOKUP(Table2[[#This Row],[Type]],'Muraba Veil Sale Summary'!A:A,'Muraba Veil Sale Summary'!P:P))</f>
        <v/>
      </c>
      <c r="F184" s="162" t="str">
        <f>IF(Table2[[#This Row],[Unit ]]="","",_xlfn.XLOOKUP(Table2[[#This Row],[Type]],'Muraba Veil Sale Summary'!$A:$A,'Muraba Veil Sale Summary'!F:F))</f>
        <v/>
      </c>
      <c r="G184" s="162" t="str">
        <f>IF(Table2[[#This Row],[Unit ]]="","",_xlfn.XLOOKUP(Table2[[#This Row],[Type]],'Muraba Veil Sale Summary'!$A:$A,'Muraba Veil Sale Summary'!G:G))</f>
        <v/>
      </c>
      <c r="H184" s="162">
        <f t="shared" si="21"/>
        <v>0</v>
      </c>
      <c r="I184" s="163">
        <v>0.65</v>
      </c>
      <c r="J184" s="162" t="str">
        <f>IF(Table2[[#This Row],[Unit ]]="","",F184+(G184*Table2[[#This Row],[Terrace Area]]))</f>
        <v/>
      </c>
      <c r="K184" s="8" t="str">
        <f>IF(Table2[[#This Row],[Unit ]]="","",'Launches   XL   SX   DX'!F29)</f>
        <v/>
      </c>
      <c r="L184" s="8">
        <f t="shared" si="22"/>
        <v>0</v>
      </c>
      <c r="M184" s="3" t="str">
        <f>Table2[[#This Row],[Price/Sq.ft]]</f>
        <v/>
      </c>
      <c r="N184" s="162" t="e">
        <f>VLOOKUP(Table2[[#This Row],[Unit ]],'[1]Muraba Unit Wise Details '!$C$4:$L$67,10,FALSE)</f>
        <v>#N/A</v>
      </c>
      <c r="O184" s="162" t="e">
        <f>Table2[[#This Row],[Column2]]-Table2[[#This Row],[Price]]</f>
        <v>#N/A</v>
      </c>
      <c r="P184" s="209" t="e">
        <f>Table2[[#This Row],[Price]]/Table2[[#This Row],[Total Area
(Sq.ft)]]</f>
        <v>#DIV/0!</v>
      </c>
      <c r="Q184" s="209" t="e">
        <f>Table2[[#This Row],[Price]]/Table2[[#This Row],[Sellable Area
(Sq. ft)]]</f>
        <v>#VALUE!</v>
      </c>
      <c r="R184" s="209"/>
    </row>
    <row r="185" spans="1:18" x14ac:dyDescent="0.35">
      <c r="A185" s="159" t="str">
        <f>IF(Table2[[#This Row],[Unit ]]="","","3 Bedroom Pool")</f>
        <v/>
      </c>
      <c r="B185" s="158" t="s">
        <v>21</v>
      </c>
      <c r="C185" s="159" t="str">
        <f>'Launches   XL   SX   DX'!C30</f>
        <v/>
      </c>
      <c r="D185" s="160" t="str">
        <f>LEFT(Table2[[#This Row],[Unit ]],2)</f>
        <v/>
      </c>
      <c r="E185" s="161" t="str">
        <f>IF(Table2[[#This Row],[Unit ]]="","",_xlfn.XLOOKUP(Table2[[#This Row],[Type]],'Muraba Veil Sale Summary'!A:A,'Muraba Veil Sale Summary'!P:P))</f>
        <v/>
      </c>
      <c r="F185" s="162" t="str">
        <f>IF(Table2[[#This Row],[Unit ]]="","",_xlfn.XLOOKUP(Table2[[#This Row],[Type]],'Muraba Veil Sale Summary'!$A:$A,'Muraba Veil Sale Summary'!F:F))</f>
        <v/>
      </c>
      <c r="G185" s="162" t="str">
        <f>IF(Table2[[#This Row],[Unit ]]="","",_xlfn.XLOOKUP(Table2[[#This Row],[Type]],'Muraba Veil Sale Summary'!$A:$A,'Muraba Veil Sale Summary'!G:G))</f>
        <v/>
      </c>
      <c r="H185" s="162">
        <f t="shared" si="21"/>
        <v>0</v>
      </c>
      <c r="I185" s="163">
        <v>0.65</v>
      </c>
      <c r="J185" s="162" t="str">
        <f>IF(Table2[[#This Row],[Unit ]]="","",F185+(G185*Table2[[#This Row],[Terrace Area]]))</f>
        <v/>
      </c>
      <c r="K185" s="8" t="str">
        <f>IF(Table2[[#This Row],[Unit ]]="","",'Launches   XL   SX   DX'!F30)</f>
        <v/>
      </c>
      <c r="L185" s="8">
        <f t="shared" si="22"/>
        <v>0</v>
      </c>
      <c r="M185" s="3" t="str">
        <f>Table2[[#This Row],[Price/Sq.ft]]</f>
        <v/>
      </c>
      <c r="N185" s="162" t="e">
        <f>VLOOKUP(Table2[[#This Row],[Unit ]],'[1]Muraba Unit Wise Details '!$C$4:$L$67,10,FALSE)</f>
        <v>#N/A</v>
      </c>
      <c r="O185" s="162" t="e">
        <f>Table2[[#This Row],[Column2]]-Table2[[#This Row],[Price]]</f>
        <v>#N/A</v>
      </c>
      <c r="P185" s="209" t="e">
        <f>Table2[[#This Row],[Price]]/Table2[[#This Row],[Total Area
(Sq.ft)]]</f>
        <v>#DIV/0!</v>
      </c>
      <c r="Q185" s="209" t="e">
        <f>Table2[[#This Row],[Price]]/Table2[[#This Row],[Sellable Area
(Sq. ft)]]</f>
        <v>#VALUE!</v>
      </c>
      <c r="R185" s="209"/>
    </row>
    <row r="186" spans="1:18" x14ac:dyDescent="0.35">
      <c r="A186" s="159" t="str">
        <f>IF(Table2[[#This Row],[Unit ]]="","","3 Bedroom Pool")</f>
        <v/>
      </c>
      <c r="B186" s="158" t="s">
        <v>21</v>
      </c>
      <c r="C186" s="159" t="str">
        <f>'Launches   XL   SX   DX'!C31</f>
        <v/>
      </c>
      <c r="D186" s="160" t="str">
        <f>LEFT(Table2[[#This Row],[Unit ]],2)</f>
        <v/>
      </c>
      <c r="E186" s="161" t="str">
        <f>IF(Table2[[#This Row],[Unit ]]="","",_xlfn.XLOOKUP(Table2[[#This Row],[Type]],'Muraba Veil Sale Summary'!A:A,'Muraba Veil Sale Summary'!P:P))</f>
        <v/>
      </c>
      <c r="F186" s="162" t="str">
        <f>IF(Table2[[#This Row],[Unit ]]="","",_xlfn.XLOOKUP(Table2[[#This Row],[Type]],'Muraba Veil Sale Summary'!$A:$A,'Muraba Veil Sale Summary'!F:F))</f>
        <v/>
      </c>
      <c r="G186" s="162" t="str">
        <f>IF(Table2[[#This Row],[Unit ]]="","",_xlfn.XLOOKUP(Table2[[#This Row],[Type]],'Muraba Veil Sale Summary'!$A:$A,'Muraba Veil Sale Summary'!G:G))</f>
        <v/>
      </c>
      <c r="H186" s="162">
        <f t="shared" si="21"/>
        <v>0</v>
      </c>
      <c r="I186" s="163">
        <v>0.65</v>
      </c>
      <c r="J186" s="162" t="str">
        <f>IF(Table2[[#This Row],[Unit ]]="","",F186+(G186*Table2[[#This Row],[Terrace Area]]))</f>
        <v/>
      </c>
      <c r="K186" s="8" t="str">
        <f>IF(Table2[[#This Row],[Unit ]]="","",'Launches   XL   SX   DX'!F31)</f>
        <v/>
      </c>
      <c r="L186" s="8">
        <f t="shared" si="22"/>
        <v>0</v>
      </c>
      <c r="M186" s="3" t="str">
        <f>Table2[[#This Row],[Price/Sq.ft]]</f>
        <v/>
      </c>
      <c r="N186" s="209" t="e">
        <f>VLOOKUP(Table2[[#This Row],[Unit ]],'[1]Muraba Unit Wise Details '!$C$4:$L$67,10,FALSE)</f>
        <v>#N/A</v>
      </c>
      <c r="O186" s="209" t="e">
        <f>Table2[[#This Row],[Column2]]-Table2[[#This Row],[Price]]</f>
        <v>#N/A</v>
      </c>
      <c r="P186" s="209" t="e">
        <f>Table2[[#This Row],[Price]]/Table2[[#This Row],[Total Area
(Sq.ft)]]</f>
        <v>#DIV/0!</v>
      </c>
      <c r="Q186" s="209" t="e">
        <f>Table2[[#This Row],[Price]]/Table2[[#This Row],[Sellable Area
(Sq. ft)]]</f>
        <v>#VALUE!</v>
      </c>
      <c r="R186" s="209"/>
    </row>
    <row r="187" spans="1:18" x14ac:dyDescent="0.35">
      <c r="A187" s="159" t="str">
        <f>IF(Table2[[#This Row],[Unit ]]="","","3 Bedroom Pool")</f>
        <v/>
      </c>
      <c r="B187" s="158" t="s">
        <v>21</v>
      </c>
      <c r="C187" s="159" t="str">
        <f>'Launches   XL   SX   DX'!C32</f>
        <v/>
      </c>
      <c r="D187" s="160" t="str">
        <f>LEFT(Table2[[#This Row],[Unit ]],2)</f>
        <v/>
      </c>
      <c r="E187" s="161" t="str">
        <f>IF(Table2[[#This Row],[Unit ]]="","",_xlfn.XLOOKUP(Table2[[#This Row],[Type]],'Muraba Veil Sale Summary'!A:A,'Muraba Veil Sale Summary'!P:P))</f>
        <v/>
      </c>
      <c r="F187" s="162" t="str">
        <f>IF(Table2[[#This Row],[Unit ]]="","",_xlfn.XLOOKUP(Table2[[#This Row],[Type]],'Muraba Veil Sale Summary'!$A:$A,'Muraba Veil Sale Summary'!F:F))</f>
        <v/>
      </c>
      <c r="G187" s="162" t="str">
        <f>IF(Table2[[#This Row],[Unit ]]="","",_xlfn.XLOOKUP(Table2[[#This Row],[Type]],'Muraba Veil Sale Summary'!$A:$A,'Muraba Veil Sale Summary'!G:G))</f>
        <v/>
      </c>
      <c r="H187" s="162">
        <f t="shared" si="21"/>
        <v>0</v>
      </c>
      <c r="I187" s="163">
        <v>0.65</v>
      </c>
      <c r="J187" s="162" t="str">
        <f>IF(Table2[[#This Row],[Unit ]]="","",F187+(G187*Table2[[#This Row],[Terrace Area]]))</f>
        <v/>
      </c>
      <c r="K187" s="8" t="str">
        <f>IF(Table2[[#This Row],[Unit ]]="","",'Launches   XL   SX   DX'!F32)</f>
        <v/>
      </c>
      <c r="L187" s="8">
        <f t="shared" si="22"/>
        <v>0</v>
      </c>
      <c r="M187" s="3" t="str">
        <f>Table2[[#This Row],[Price/Sq.ft]]</f>
        <v/>
      </c>
      <c r="N187" s="209" t="e">
        <f>VLOOKUP(Table2[[#This Row],[Unit ]],'[1]Muraba Unit Wise Details '!$C$4:$L$67,10,FALSE)</f>
        <v>#N/A</v>
      </c>
      <c r="O187" s="209" t="e">
        <f>Table2[[#This Row],[Column2]]-Table2[[#This Row],[Price]]</f>
        <v>#N/A</v>
      </c>
      <c r="P187" s="209" t="e">
        <f>Table2[[#This Row],[Price]]/Table2[[#This Row],[Total Area
(Sq.ft)]]</f>
        <v>#DIV/0!</v>
      </c>
      <c r="Q187" s="209" t="e">
        <f>Table2[[#This Row],[Price]]/Table2[[#This Row],[Sellable Area
(Sq. ft)]]</f>
        <v>#VALUE!</v>
      </c>
      <c r="R187" s="209"/>
    </row>
    <row r="188" spans="1:18" x14ac:dyDescent="0.35">
      <c r="A188" s="159" t="str">
        <f>IF(Table2[[#This Row],[Unit ]]="","","3 Bedroom Pool")</f>
        <v/>
      </c>
      <c r="B188" s="158" t="s">
        <v>21</v>
      </c>
      <c r="C188" s="159" t="str">
        <f>'Launches   XL   SX   DX'!C33</f>
        <v/>
      </c>
      <c r="D188" s="160" t="str">
        <f>LEFT(Table2[[#This Row],[Unit ]],2)</f>
        <v/>
      </c>
      <c r="E188" s="161" t="str">
        <f>IF(Table2[[#This Row],[Unit ]]="","",_xlfn.XLOOKUP(Table2[[#This Row],[Type]],'Muraba Veil Sale Summary'!A:A,'Muraba Veil Sale Summary'!P:P))</f>
        <v/>
      </c>
      <c r="F188" s="162" t="str">
        <f>IF(Table2[[#This Row],[Unit ]]="","",_xlfn.XLOOKUP(Table2[[#This Row],[Type]],'Muraba Veil Sale Summary'!$A:$A,'Muraba Veil Sale Summary'!F:F))</f>
        <v/>
      </c>
      <c r="G188" s="162" t="str">
        <f>IF(Table2[[#This Row],[Unit ]]="","",_xlfn.XLOOKUP(Table2[[#This Row],[Type]],'Muraba Veil Sale Summary'!$A:$A,'Muraba Veil Sale Summary'!G:G))</f>
        <v/>
      </c>
      <c r="H188" s="162">
        <f t="shared" si="21"/>
        <v>0</v>
      </c>
      <c r="I188" s="163">
        <v>0.65</v>
      </c>
      <c r="J188" s="162" t="str">
        <f>IF(Table2[[#This Row],[Unit ]]="","",F188+(G188*Table2[[#This Row],[Terrace Area]]))</f>
        <v/>
      </c>
      <c r="K188" s="8" t="str">
        <f>IF(Table2[[#This Row],[Unit ]]="","",'Launches   XL   SX   DX'!F33)</f>
        <v/>
      </c>
      <c r="L188" s="8">
        <f t="shared" si="22"/>
        <v>0</v>
      </c>
      <c r="M188" s="3" t="str">
        <f>Table2[[#This Row],[Price/Sq.ft]]</f>
        <v/>
      </c>
      <c r="N188" s="210" t="e">
        <f>VLOOKUP(Table2[[#This Row],[Unit ]],'[1]Muraba Unit Wise Details '!$C$4:$L$67,10,FALSE)</f>
        <v>#N/A</v>
      </c>
      <c r="O188" s="210" t="e">
        <f>Table2[[#This Row],[Column2]]-Table2[[#This Row],[Price]]</f>
        <v>#N/A</v>
      </c>
      <c r="P188" s="209" t="e">
        <f>Table2[[#This Row],[Price]]/Table2[[#This Row],[Total Area
(Sq.ft)]]</f>
        <v>#DIV/0!</v>
      </c>
      <c r="Q188" s="209" t="e">
        <f>Table2[[#This Row],[Price]]/Table2[[#This Row],[Sellable Area
(Sq. ft)]]</f>
        <v>#VALUE!</v>
      </c>
      <c r="R188" s="209"/>
    </row>
    <row r="189" spans="1:18" x14ac:dyDescent="0.35">
      <c r="A189" s="159" t="str">
        <f>IF(Table2[[#This Row],[Unit ]]="","","3 Bedroom Pool")</f>
        <v/>
      </c>
      <c r="B189" s="158" t="s">
        <v>21</v>
      </c>
      <c r="C189" s="159" t="str">
        <f>'Launches   XL   SX   DX'!C34</f>
        <v/>
      </c>
      <c r="D189" s="160" t="str">
        <f>LEFT(Table2[[#This Row],[Unit ]],2)</f>
        <v/>
      </c>
      <c r="E189" s="161" t="str">
        <f>IF(Table2[[#This Row],[Unit ]]="","",_xlfn.XLOOKUP(Table2[[#This Row],[Type]],'Muraba Veil Sale Summary'!A:A,'Muraba Veil Sale Summary'!P:P))</f>
        <v/>
      </c>
      <c r="F189" s="162" t="str">
        <f>IF(Table2[[#This Row],[Unit ]]="","",_xlfn.XLOOKUP(Table2[[#This Row],[Type]],'Muraba Veil Sale Summary'!$A:$A,'Muraba Veil Sale Summary'!F:F))</f>
        <v/>
      </c>
      <c r="G189" s="162" t="str">
        <f>IF(Table2[[#This Row],[Unit ]]="","",_xlfn.XLOOKUP(Table2[[#This Row],[Type]],'Muraba Veil Sale Summary'!$A:$A,'Muraba Veil Sale Summary'!G:G))</f>
        <v/>
      </c>
      <c r="H189" s="162">
        <f t="shared" si="21"/>
        <v>0</v>
      </c>
      <c r="I189" s="163">
        <v>0.65</v>
      </c>
      <c r="J189" s="162" t="str">
        <f>IF(Table2[[#This Row],[Unit ]]="","",F189+(G189*Table2[[#This Row],[Terrace Area]]))</f>
        <v/>
      </c>
      <c r="K189" s="8" t="str">
        <f>IF(Table2[[#This Row],[Unit ]]="","",'Launches   XL   SX   DX'!F34)</f>
        <v/>
      </c>
      <c r="L189" s="8">
        <f t="shared" si="22"/>
        <v>0</v>
      </c>
      <c r="M189" s="3" t="str">
        <f>Table2[[#This Row],[Price/Sq.ft]]</f>
        <v/>
      </c>
      <c r="N189" s="210" t="e">
        <f>VLOOKUP(Table2[[#This Row],[Unit ]],'[1]Muraba Unit Wise Details '!$C$4:$L$67,10,FALSE)</f>
        <v>#N/A</v>
      </c>
      <c r="O189" s="210" t="e">
        <f>Table2[[#This Row],[Column2]]-Table2[[#This Row],[Price]]</f>
        <v>#N/A</v>
      </c>
      <c r="P189" s="209" t="e">
        <f>Table2[[#This Row],[Price]]/Table2[[#This Row],[Total Area
(Sq.ft)]]</f>
        <v>#DIV/0!</v>
      </c>
      <c r="Q189" s="209" t="e">
        <f>Table2[[#This Row],[Price]]/Table2[[#This Row],[Sellable Area
(Sq. ft)]]</f>
        <v>#VALUE!</v>
      </c>
      <c r="R189" s="209"/>
    </row>
    <row r="190" spans="1:18" x14ac:dyDescent="0.35">
      <c r="A190" s="159" t="str">
        <f>IF(Table2[[#This Row],[Unit ]]="","","3 Bedroom Pool")</f>
        <v/>
      </c>
      <c r="B190" s="158" t="s">
        <v>21</v>
      </c>
      <c r="C190" s="159" t="str">
        <f>'Launches   XL   SX   DX'!C35</f>
        <v/>
      </c>
      <c r="D190" s="160" t="str">
        <f>LEFT(Table2[[#This Row],[Unit ]],2)</f>
        <v/>
      </c>
      <c r="E190" s="161" t="str">
        <f>IF(Table2[[#This Row],[Unit ]]="","",_xlfn.XLOOKUP(Table2[[#This Row],[Type]],'Muraba Veil Sale Summary'!A:A,'Muraba Veil Sale Summary'!P:P))</f>
        <v/>
      </c>
      <c r="F190" s="162" t="str">
        <f>IF(Table2[[#This Row],[Unit ]]="","",_xlfn.XLOOKUP(Table2[[#This Row],[Type]],'Muraba Veil Sale Summary'!$A:$A,'Muraba Veil Sale Summary'!F:F))</f>
        <v/>
      </c>
      <c r="G190" s="162" t="str">
        <f>IF(Table2[[#This Row],[Unit ]]="","",_xlfn.XLOOKUP(Table2[[#This Row],[Type]],'Muraba Veil Sale Summary'!$A:$A,'Muraba Veil Sale Summary'!G:G))</f>
        <v/>
      </c>
      <c r="H190" s="162">
        <f t="shared" si="21"/>
        <v>0</v>
      </c>
      <c r="I190" s="163">
        <v>0.65</v>
      </c>
      <c r="J190" s="162" t="str">
        <f>IF(Table2[[#This Row],[Unit ]]="","",F190+(G190*Table2[[#This Row],[Terrace Area]]))</f>
        <v/>
      </c>
      <c r="K190" s="8" t="str">
        <f>IF(Table2[[#This Row],[Unit ]]="","",'Launches   XL   SX   DX'!F35)</f>
        <v/>
      </c>
      <c r="L190" s="8">
        <f t="shared" si="22"/>
        <v>0</v>
      </c>
      <c r="M190" s="3" t="str">
        <f>Table2[[#This Row],[Price/Sq.ft]]</f>
        <v/>
      </c>
      <c r="N190" s="174" t="e">
        <f>VLOOKUP(Table2[[#This Row],[Unit ]],'[1]Muraba Unit Wise Details '!$C$4:$L$67,10,FALSE)</f>
        <v>#N/A</v>
      </c>
      <c r="O190" s="174" t="e">
        <f>Table2[[#This Row],[Column2]]-Table2[[#This Row],[Price]]</f>
        <v>#N/A</v>
      </c>
      <c r="P190" s="209" t="e">
        <f>Table2[[#This Row],[Price]]/Table2[[#This Row],[Total Area
(Sq.ft)]]</f>
        <v>#DIV/0!</v>
      </c>
      <c r="Q190" s="209" t="e">
        <f>Table2[[#This Row],[Price]]/Table2[[#This Row],[Sellable Area
(Sq. ft)]]</f>
        <v>#VALUE!</v>
      </c>
      <c r="R190" s="209"/>
    </row>
    <row r="191" spans="1:18" x14ac:dyDescent="0.35">
      <c r="A191" s="159" t="str">
        <f>IF(Table2[[#This Row],[Unit ]]="","","3 Bedroom Pool")</f>
        <v/>
      </c>
      <c r="B191" s="158" t="s">
        <v>21</v>
      </c>
      <c r="C191" s="159" t="str">
        <f>'Launches   XL   SX   DX'!C36</f>
        <v/>
      </c>
      <c r="D191" s="160" t="str">
        <f>LEFT(Table2[[#This Row],[Unit ]],2)</f>
        <v/>
      </c>
      <c r="E191" s="161" t="str">
        <f>IF(Table2[[#This Row],[Unit ]]="","",_xlfn.XLOOKUP(Table2[[#This Row],[Type]],'Muraba Veil Sale Summary'!A:A,'Muraba Veil Sale Summary'!P:P))</f>
        <v/>
      </c>
      <c r="F191" s="162" t="str">
        <f>IF(Table2[[#This Row],[Unit ]]="","",_xlfn.XLOOKUP(Table2[[#This Row],[Type]],'Muraba Veil Sale Summary'!$A:$A,'Muraba Veil Sale Summary'!F:F))</f>
        <v/>
      </c>
      <c r="G191" s="162" t="str">
        <f>IF(Table2[[#This Row],[Unit ]]="","",_xlfn.XLOOKUP(Table2[[#This Row],[Type]],'Muraba Veil Sale Summary'!$A:$A,'Muraba Veil Sale Summary'!G:G))</f>
        <v/>
      </c>
      <c r="H191" s="162">
        <f t="shared" si="21"/>
        <v>0</v>
      </c>
      <c r="I191" s="163">
        <v>0.65</v>
      </c>
      <c r="J191" s="162" t="str">
        <f>IF(Table2[[#This Row],[Unit ]]="","",F191+(G191*Table2[[#This Row],[Terrace Area]]))</f>
        <v/>
      </c>
      <c r="K191" s="8" t="str">
        <f>IF(Table2[[#This Row],[Unit ]]="","",'Launches   XL   SX   DX'!F36)</f>
        <v/>
      </c>
      <c r="L191" s="8">
        <f t="shared" si="22"/>
        <v>0</v>
      </c>
      <c r="M191" s="3" t="str">
        <f>Table2[[#This Row],[Price/Sq.ft]]</f>
        <v/>
      </c>
      <c r="N191" s="174" t="e">
        <f>VLOOKUP(Table2[[#This Row],[Unit ]],'[1]Muraba Unit Wise Details '!$C$4:$L$67,10,FALSE)</f>
        <v>#N/A</v>
      </c>
      <c r="O191" s="174" t="e">
        <f>Table2[[#This Row],[Column2]]-Table2[[#This Row],[Price]]</f>
        <v>#N/A</v>
      </c>
      <c r="P191" s="209" t="e">
        <f>Table2[[#This Row],[Price]]/Table2[[#This Row],[Total Area
(Sq.ft)]]</f>
        <v>#DIV/0!</v>
      </c>
      <c r="Q191" s="209" t="e">
        <f>Table2[[#This Row],[Price]]/Table2[[#This Row],[Sellable Area
(Sq. ft)]]</f>
        <v>#VALUE!</v>
      </c>
      <c r="R191" s="209"/>
    </row>
    <row r="192" spans="1:18" x14ac:dyDescent="0.35">
      <c r="A192" s="159" t="str">
        <f>IF(Table2[[#This Row],[Unit ]]="","","3 Bedroom Pool")</f>
        <v/>
      </c>
      <c r="B192" s="158" t="s">
        <v>21</v>
      </c>
      <c r="C192" s="159" t="str">
        <f>'Launches   XL   SX   DX'!C37</f>
        <v/>
      </c>
      <c r="D192" s="160" t="str">
        <f>LEFT(Table2[[#This Row],[Unit ]],2)</f>
        <v/>
      </c>
      <c r="E192" s="161" t="str">
        <f>IF(Table2[[#This Row],[Unit ]]="","",_xlfn.XLOOKUP(Table2[[#This Row],[Type]],'Muraba Veil Sale Summary'!A:A,'Muraba Veil Sale Summary'!P:P))</f>
        <v/>
      </c>
      <c r="F192" s="162" t="str">
        <f>IF(Table2[[#This Row],[Unit ]]="","",_xlfn.XLOOKUP(Table2[[#This Row],[Type]],'Muraba Veil Sale Summary'!$A:$A,'Muraba Veil Sale Summary'!F:F))</f>
        <v/>
      </c>
      <c r="G192" s="162" t="str">
        <f>IF(Table2[[#This Row],[Unit ]]="","",_xlfn.XLOOKUP(Table2[[#This Row],[Type]],'Muraba Veil Sale Summary'!$A:$A,'Muraba Veil Sale Summary'!G:G))</f>
        <v/>
      </c>
      <c r="H192" s="162">
        <f t="shared" si="21"/>
        <v>0</v>
      </c>
      <c r="I192" s="163">
        <v>0.65</v>
      </c>
      <c r="J192" s="162" t="str">
        <f>IF(Table2[[#This Row],[Unit ]]="","",F192+(G192*Table2[[#This Row],[Terrace Area]]))</f>
        <v/>
      </c>
      <c r="K192" s="8" t="str">
        <f>IF(Table2[[#This Row],[Unit ]]="","",'Launches   XL   SX   DX'!F37)</f>
        <v/>
      </c>
      <c r="L192" s="8">
        <f t="shared" si="22"/>
        <v>0</v>
      </c>
      <c r="M192" s="3" t="str">
        <f>Table2[[#This Row],[Price/Sq.ft]]</f>
        <v/>
      </c>
      <c r="N192" s="209" t="e">
        <f>VLOOKUP(Table2[[#This Row],[Unit ]],'[1]Muraba Unit Wise Details '!$C$4:$L$67,10,FALSE)</f>
        <v>#N/A</v>
      </c>
      <c r="O192" s="209" t="e">
        <f>Table2[[#This Row],[Column2]]-Table2[[#This Row],[Price]]</f>
        <v>#N/A</v>
      </c>
      <c r="P192" s="209" t="e">
        <f>Table2[[#This Row],[Price]]/Table2[[#This Row],[Total Area
(Sq.ft)]]</f>
        <v>#DIV/0!</v>
      </c>
      <c r="Q192" s="209" t="e">
        <f>Table2[[#This Row],[Price]]/Table2[[#This Row],[Sellable Area
(Sq. ft)]]</f>
        <v>#VALUE!</v>
      </c>
      <c r="R192" s="209"/>
    </row>
    <row r="193" spans="1:18" x14ac:dyDescent="0.35">
      <c r="A193" s="159" t="str">
        <f>IF(Table2[[#This Row],[Unit ]]="","","3 Bedroom Pool")</f>
        <v/>
      </c>
      <c r="B193" s="158" t="s">
        <v>21</v>
      </c>
      <c r="C193" s="159" t="str">
        <f>'Launches   XL   SX   DX'!C38</f>
        <v/>
      </c>
      <c r="D193" s="160" t="str">
        <f>LEFT(Table2[[#This Row],[Unit ]],2)</f>
        <v/>
      </c>
      <c r="E193" s="161" t="str">
        <f>IF(Table2[[#This Row],[Unit ]]="","",_xlfn.XLOOKUP(Table2[[#This Row],[Type]],'Muraba Veil Sale Summary'!A:A,'Muraba Veil Sale Summary'!P:P))</f>
        <v/>
      </c>
      <c r="F193" s="162" t="str">
        <f>IF(Table2[[#This Row],[Unit ]]="","",_xlfn.XLOOKUP(Table2[[#This Row],[Type]],'Muraba Veil Sale Summary'!$A:$A,'Muraba Veil Sale Summary'!F:F))</f>
        <v/>
      </c>
      <c r="G193" s="162" t="str">
        <f>IF(Table2[[#This Row],[Unit ]]="","",_xlfn.XLOOKUP(Table2[[#This Row],[Type]],'Muraba Veil Sale Summary'!$A:$A,'Muraba Veil Sale Summary'!G:G))</f>
        <v/>
      </c>
      <c r="H193" s="162">
        <f t="shared" si="21"/>
        <v>0</v>
      </c>
      <c r="I193" s="163">
        <v>0.65</v>
      </c>
      <c r="J193" s="162" t="str">
        <f>IF(Table2[[#This Row],[Unit ]]="","",F193+(G193*Table2[[#This Row],[Terrace Area]]))</f>
        <v/>
      </c>
      <c r="K193" s="8" t="str">
        <f>IF(Table2[[#This Row],[Unit ]]="","",'Launches   XL   SX   DX'!F38)</f>
        <v/>
      </c>
      <c r="L193" s="8">
        <f t="shared" si="22"/>
        <v>0</v>
      </c>
      <c r="M193" s="3" t="str">
        <f>Table2[[#This Row],[Price/Sq.ft]]</f>
        <v/>
      </c>
      <c r="N193" s="209" t="e">
        <f>VLOOKUP(Table2[[#This Row],[Unit ]],'[1]Muraba Unit Wise Details '!$C$4:$L$67,10,FALSE)</f>
        <v>#N/A</v>
      </c>
      <c r="O193" s="209" t="e">
        <f>Table2[[#This Row],[Column2]]-Table2[[#This Row],[Price]]</f>
        <v>#N/A</v>
      </c>
      <c r="P193" s="209" t="e">
        <f>Table2[[#This Row],[Price]]/Table2[[#This Row],[Total Area
(Sq.ft)]]</f>
        <v>#DIV/0!</v>
      </c>
      <c r="Q193" s="209" t="e">
        <f>Table2[[#This Row],[Price]]/Table2[[#This Row],[Sellable Area
(Sq. ft)]]</f>
        <v>#VALUE!</v>
      </c>
      <c r="R193" s="209"/>
    </row>
    <row r="194" spans="1:18" x14ac:dyDescent="0.35">
      <c r="A194" s="159" t="str">
        <f>IF(Table2[[#This Row],[Unit ]]="","","3 Bedroom Pool")</f>
        <v/>
      </c>
      <c r="B194" s="158" t="s">
        <v>21</v>
      </c>
      <c r="C194" s="159" t="str">
        <f>'Launches   XL   SX   DX'!C39</f>
        <v/>
      </c>
      <c r="D194" s="160" t="str">
        <f>LEFT(Table2[[#This Row],[Unit ]],2)</f>
        <v/>
      </c>
      <c r="E194" s="161" t="str">
        <f>IF(Table2[[#This Row],[Unit ]]="","",_xlfn.XLOOKUP(Table2[[#This Row],[Type]],'Muraba Veil Sale Summary'!A:A,'Muraba Veil Sale Summary'!P:P))</f>
        <v/>
      </c>
      <c r="F194" s="162" t="str">
        <f>IF(Table2[[#This Row],[Unit ]]="","",_xlfn.XLOOKUP(Table2[[#This Row],[Type]],'Muraba Veil Sale Summary'!$A:$A,'Muraba Veil Sale Summary'!F:F))</f>
        <v/>
      </c>
      <c r="G194" s="162" t="str">
        <f>IF(Table2[[#This Row],[Unit ]]="","",_xlfn.XLOOKUP(Table2[[#This Row],[Type]],'Muraba Veil Sale Summary'!$A:$A,'Muraba Veil Sale Summary'!G:G))</f>
        <v/>
      </c>
      <c r="H194" s="162">
        <f t="shared" si="21"/>
        <v>0</v>
      </c>
      <c r="I194" s="163">
        <v>0.65</v>
      </c>
      <c r="J194" s="162" t="str">
        <f>IF(Table2[[#This Row],[Unit ]]="","",F194+(G194*Table2[[#This Row],[Terrace Area]]))</f>
        <v/>
      </c>
      <c r="K194" s="8" t="str">
        <f>IF(Table2[[#This Row],[Unit ]]="","",'Launches   XL   SX   DX'!F39)</f>
        <v/>
      </c>
      <c r="L194" s="8">
        <f t="shared" si="22"/>
        <v>0</v>
      </c>
      <c r="M194" s="3" t="str">
        <f>Table2[[#This Row],[Price/Sq.ft]]</f>
        <v/>
      </c>
      <c r="N194" s="209" t="e">
        <f>VLOOKUP(Table2[[#This Row],[Unit ]],'[1]Muraba Unit Wise Details '!$C$4:$L$67,10,FALSE)</f>
        <v>#N/A</v>
      </c>
      <c r="O194" s="209" t="e">
        <f>Table2[[#This Row],[Column2]]-Table2[[#This Row],[Price]]</f>
        <v>#N/A</v>
      </c>
      <c r="P194" s="209" t="e">
        <f>Table2[[#This Row],[Price]]/Table2[[#This Row],[Total Area
(Sq.ft)]]</f>
        <v>#DIV/0!</v>
      </c>
      <c r="Q194" s="209" t="e">
        <f>Table2[[#This Row],[Price]]/Table2[[#This Row],[Sellable Area
(Sq. ft)]]</f>
        <v>#VALUE!</v>
      </c>
      <c r="R194" s="209"/>
    </row>
    <row r="195" spans="1:18" x14ac:dyDescent="0.35">
      <c r="A195" s="159" t="str">
        <f>IF(Table2[[#This Row],[Unit ]]="","","3 Bedroom Pool")</f>
        <v/>
      </c>
      <c r="B195" s="158" t="s">
        <v>21</v>
      </c>
      <c r="C195" s="159" t="str">
        <f>'Launches   XL   SX   DX'!C40</f>
        <v/>
      </c>
      <c r="D195" s="160" t="str">
        <f>LEFT(Table2[[#This Row],[Unit ]],2)</f>
        <v/>
      </c>
      <c r="E195" s="161" t="str">
        <f>IF(Table2[[#This Row],[Unit ]]="","",_xlfn.XLOOKUP(Table2[[#This Row],[Type]],'Muraba Veil Sale Summary'!A:A,'Muraba Veil Sale Summary'!P:P))</f>
        <v/>
      </c>
      <c r="F195" s="162" t="str">
        <f>IF(Table2[[#This Row],[Unit ]]="","",_xlfn.XLOOKUP(Table2[[#This Row],[Type]],'Muraba Veil Sale Summary'!$A:$A,'Muraba Veil Sale Summary'!F:F))</f>
        <v/>
      </c>
      <c r="G195" s="162" t="str">
        <f>IF(Table2[[#This Row],[Unit ]]="","",_xlfn.XLOOKUP(Table2[[#This Row],[Type]],'Muraba Veil Sale Summary'!$A:$A,'Muraba Veil Sale Summary'!G:G))</f>
        <v/>
      </c>
      <c r="H195" s="162">
        <f t="shared" si="21"/>
        <v>0</v>
      </c>
      <c r="I195" s="163">
        <v>0.65</v>
      </c>
      <c r="J195" s="162" t="str">
        <f>IF(Table2[[#This Row],[Unit ]]="","",F195+(G195*Table2[[#This Row],[Terrace Area]]))</f>
        <v/>
      </c>
      <c r="K195" s="8" t="str">
        <f>IF(Table2[[#This Row],[Unit ]]="","",'Launches   XL   SX   DX'!F40)</f>
        <v/>
      </c>
      <c r="L195" s="8">
        <f t="shared" si="22"/>
        <v>0</v>
      </c>
      <c r="M195" s="3" t="str">
        <f>Table2[[#This Row],[Price/Sq.ft]]</f>
        <v/>
      </c>
      <c r="N195" s="209" t="e">
        <f>VLOOKUP(Table2[[#This Row],[Unit ]],'[1]Muraba Unit Wise Details '!$C$4:$L$67,10,FALSE)</f>
        <v>#N/A</v>
      </c>
      <c r="O195" s="209" t="e">
        <f>Table2[[#This Row],[Column2]]-Table2[[#This Row],[Price]]</f>
        <v>#N/A</v>
      </c>
      <c r="P195" s="209" t="e">
        <f>Table2[[#This Row],[Price]]/Table2[[#This Row],[Total Area
(Sq.ft)]]</f>
        <v>#DIV/0!</v>
      </c>
      <c r="Q195" s="209" t="e">
        <f>Table2[[#This Row],[Price]]/Table2[[#This Row],[Sellable Area
(Sq. ft)]]</f>
        <v>#VALUE!</v>
      </c>
      <c r="R195" s="209"/>
    </row>
    <row r="196" spans="1:18" x14ac:dyDescent="0.35">
      <c r="A196" s="159" t="str">
        <f>IF(Table2[[#This Row],[Unit ]]="","","3 Bedroom Pool")</f>
        <v/>
      </c>
      <c r="B196" s="158" t="s">
        <v>21</v>
      </c>
      <c r="C196" s="159" t="str">
        <f>'Launches   XL   SX   DX'!C41</f>
        <v/>
      </c>
      <c r="D196" s="160" t="str">
        <f>LEFT(Table2[[#This Row],[Unit ]],2)</f>
        <v/>
      </c>
      <c r="E196" s="161" t="str">
        <f>IF(Table2[[#This Row],[Unit ]]="","",_xlfn.XLOOKUP(Table2[[#This Row],[Type]],'Muraba Veil Sale Summary'!A:A,'Muraba Veil Sale Summary'!P:P))</f>
        <v/>
      </c>
      <c r="F196" s="162" t="str">
        <f>IF(Table2[[#This Row],[Unit ]]="","",_xlfn.XLOOKUP(Table2[[#This Row],[Type]],'Muraba Veil Sale Summary'!$A:$A,'Muraba Veil Sale Summary'!F:F))</f>
        <v/>
      </c>
      <c r="G196" s="162" t="str">
        <f>IF(Table2[[#This Row],[Unit ]]="","",_xlfn.XLOOKUP(Table2[[#This Row],[Type]],'Muraba Veil Sale Summary'!$A:$A,'Muraba Veil Sale Summary'!G:G))</f>
        <v/>
      </c>
      <c r="H196" s="162">
        <f t="shared" si="21"/>
        <v>0</v>
      </c>
      <c r="I196" s="163">
        <v>0.65</v>
      </c>
      <c r="J196" s="162" t="str">
        <f>IF(Table2[[#This Row],[Unit ]]="","",F196+(G196*Table2[[#This Row],[Terrace Area]]))</f>
        <v/>
      </c>
      <c r="K196" s="8" t="str">
        <f>IF(Table2[[#This Row],[Unit ]]="","",'Launches   XL   SX   DX'!F41)</f>
        <v/>
      </c>
      <c r="L196" s="8">
        <f t="shared" si="22"/>
        <v>0</v>
      </c>
      <c r="M196" s="3" t="str">
        <f>Table2[[#This Row],[Price/Sq.ft]]</f>
        <v/>
      </c>
      <c r="N196" s="209" t="e">
        <f>VLOOKUP(Table2[[#This Row],[Unit ]],'[1]Muraba Unit Wise Details '!$C$4:$L$67,10,FALSE)</f>
        <v>#N/A</v>
      </c>
      <c r="O196" s="209" t="e">
        <f>Table2[[#This Row],[Column2]]-Table2[[#This Row],[Price]]</f>
        <v>#N/A</v>
      </c>
      <c r="P196" s="209" t="e">
        <f>Table2[[#This Row],[Price]]/Table2[[#This Row],[Total Area
(Sq.ft)]]</f>
        <v>#DIV/0!</v>
      </c>
      <c r="Q196" s="209" t="e">
        <f>Table2[[#This Row],[Price]]/Table2[[#This Row],[Sellable Area
(Sq. ft)]]</f>
        <v>#VALUE!</v>
      </c>
      <c r="R196" s="209"/>
    </row>
    <row r="197" spans="1:18" x14ac:dyDescent="0.35">
      <c r="A197" s="159" t="str">
        <f>IF(Table2[[#This Row],[Unit ]]="","","3 Bedroom Pool")</f>
        <v/>
      </c>
      <c r="B197" s="158" t="s">
        <v>21</v>
      </c>
      <c r="C197" s="159" t="str">
        <f>'Launches   XL   SX   DX'!C42</f>
        <v/>
      </c>
      <c r="D197" s="160" t="str">
        <f>LEFT(Table2[[#This Row],[Unit ]],2)</f>
        <v/>
      </c>
      <c r="E197" s="161" t="str">
        <f>IF(Table2[[#This Row],[Unit ]]="","",_xlfn.XLOOKUP(Table2[[#This Row],[Type]],'Muraba Veil Sale Summary'!A:A,'Muraba Veil Sale Summary'!P:P))</f>
        <v/>
      </c>
      <c r="F197" s="162" t="str">
        <f>IF(Table2[[#This Row],[Unit ]]="","",_xlfn.XLOOKUP(Table2[[#This Row],[Type]],'Muraba Veil Sale Summary'!$A:$A,'Muraba Veil Sale Summary'!F:F))</f>
        <v/>
      </c>
      <c r="G197" s="162" t="str">
        <f>IF(Table2[[#This Row],[Unit ]]="","",_xlfn.XLOOKUP(Table2[[#This Row],[Type]],'Muraba Veil Sale Summary'!$A:$A,'Muraba Veil Sale Summary'!G:G))</f>
        <v/>
      </c>
      <c r="H197" s="162">
        <f t="shared" si="21"/>
        <v>0</v>
      </c>
      <c r="I197" s="163">
        <v>0.65</v>
      </c>
      <c r="J197" s="162" t="str">
        <f>IF(Table2[[#This Row],[Unit ]]="","",F197+(G197*Table2[[#This Row],[Terrace Area]]))</f>
        <v/>
      </c>
      <c r="K197" s="8" t="str">
        <f>IF(Table2[[#This Row],[Unit ]]="","",'Launches   XL   SX   DX'!F42)</f>
        <v/>
      </c>
      <c r="L197" s="8">
        <f t="shared" si="22"/>
        <v>0</v>
      </c>
      <c r="M197" s="3" t="str">
        <f>Table2[[#This Row],[Price/Sq.ft]]</f>
        <v/>
      </c>
      <c r="N197" s="209" t="e">
        <f>VLOOKUP(Table2[[#This Row],[Unit ]],'[1]Muraba Unit Wise Details '!$C$4:$L$67,10,FALSE)</f>
        <v>#N/A</v>
      </c>
      <c r="O197" s="209" t="e">
        <f>Table2[[#This Row],[Column2]]-Table2[[#This Row],[Price]]</f>
        <v>#N/A</v>
      </c>
      <c r="P197" s="209" t="e">
        <f>Table2[[#This Row],[Price]]/Table2[[#This Row],[Total Area
(Sq.ft)]]</f>
        <v>#DIV/0!</v>
      </c>
      <c r="Q197" s="209" t="e">
        <f>Table2[[#This Row],[Price]]/Table2[[#This Row],[Sellable Area
(Sq. ft)]]</f>
        <v>#VALUE!</v>
      </c>
      <c r="R197" s="209"/>
    </row>
    <row r="198" spans="1:18" x14ac:dyDescent="0.35">
      <c r="A198" s="159" t="str">
        <f>IF(Table2[[#This Row],[Unit ]]="","","3 Bedroom Pool")</f>
        <v/>
      </c>
      <c r="B198" s="158" t="s">
        <v>21</v>
      </c>
      <c r="C198" s="159" t="str">
        <f>'Launches   XL   SX   DX'!C43</f>
        <v/>
      </c>
      <c r="D198" s="160" t="str">
        <f>LEFT(Table2[[#This Row],[Unit ]],2)</f>
        <v/>
      </c>
      <c r="E198" s="161" t="str">
        <f>IF(Table2[[#This Row],[Unit ]]="","",_xlfn.XLOOKUP(Table2[[#This Row],[Type]],'Muraba Veil Sale Summary'!A:A,'Muraba Veil Sale Summary'!P:P))</f>
        <v/>
      </c>
      <c r="F198" s="162" t="str">
        <f>IF(Table2[[#This Row],[Unit ]]="","",_xlfn.XLOOKUP(Table2[[#This Row],[Type]],'Muraba Veil Sale Summary'!$A:$A,'Muraba Veil Sale Summary'!F:F))</f>
        <v/>
      </c>
      <c r="G198" s="162" t="str">
        <f>IF(Table2[[#This Row],[Unit ]]="","",_xlfn.XLOOKUP(Table2[[#This Row],[Type]],'Muraba Veil Sale Summary'!$A:$A,'Muraba Veil Sale Summary'!G:G))</f>
        <v/>
      </c>
      <c r="H198" s="162">
        <f t="shared" si="21"/>
        <v>0</v>
      </c>
      <c r="I198" s="163">
        <v>0.65</v>
      </c>
      <c r="J198" s="162" t="str">
        <f>IF(Table2[[#This Row],[Unit ]]="","",F198+(G198*Table2[[#This Row],[Terrace Area]]))</f>
        <v/>
      </c>
      <c r="K198" s="8" t="str">
        <f>IF(Table2[[#This Row],[Unit ]]="","",'Launches   XL   SX   DX'!F43)</f>
        <v/>
      </c>
      <c r="L198" s="8">
        <f t="shared" si="22"/>
        <v>0</v>
      </c>
      <c r="M198" s="3" t="str">
        <f>Table2[[#This Row],[Price/Sq.ft]]</f>
        <v/>
      </c>
      <c r="N198" s="209" t="e">
        <f>VLOOKUP(Table2[[#This Row],[Unit ]],'[1]Muraba Unit Wise Details '!$C$4:$L$67,10,FALSE)</f>
        <v>#N/A</v>
      </c>
      <c r="O198" s="209" t="e">
        <f>Table2[[#This Row],[Column2]]-Table2[[#This Row],[Price]]</f>
        <v>#N/A</v>
      </c>
      <c r="P198" s="209" t="e">
        <f>Table2[[#This Row],[Price]]/Table2[[#This Row],[Total Area
(Sq.ft)]]</f>
        <v>#DIV/0!</v>
      </c>
      <c r="Q198" s="209" t="e">
        <f>Table2[[#This Row],[Price]]/Table2[[#This Row],[Sellable Area
(Sq. ft)]]</f>
        <v>#VALUE!</v>
      </c>
      <c r="R198" s="209"/>
    </row>
    <row r="199" spans="1:18" x14ac:dyDescent="0.35">
      <c r="A199" s="165" t="str">
        <f>IF(Table2[[#This Row],[Unit ]]="","","4 Bedroom Pool")</f>
        <v>4 Bedroom Pool</v>
      </c>
      <c r="B199" s="166" t="s">
        <v>19</v>
      </c>
      <c r="C199" s="165">
        <f>'Launches   XL   SX   DX'!D20</f>
        <v>6002</v>
      </c>
      <c r="D199" s="167" t="str">
        <f>LEFT(Table2[[#This Row],[Unit ]],2)</f>
        <v>60</v>
      </c>
      <c r="E199" s="168">
        <f>IF(Table2[[#This Row],[Unit ]]="","",_xlfn.XLOOKUP(Table2[[#This Row],[Type]],'Muraba Veil Sale Summary'!A:A,'Muraba Veil Sale Summary'!P:P))</f>
        <v>3</v>
      </c>
      <c r="F199" s="169">
        <f>IF(Table2[[#This Row],[Unit ]]="","",_xlfn.XLOOKUP(Table2[[#This Row],[Type]],'Muraba Veil Sale Summary'!$A:$A,'Muraba Veil Sale Summary'!F:F))</f>
        <v>4643.5509465599998</v>
      </c>
      <c r="G199" s="169">
        <f>IF(Table2[[#This Row],[Unit ]]="","",_xlfn.XLOOKUP(Table2[[#This Row],[Type]],'Muraba Veil Sale Summary'!$A:$A,'Muraba Veil Sale Summary'!G:G))</f>
        <v>5258.8160650240006</v>
      </c>
      <c r="H199" s="169">
        <f t="shared" si="21"/>
        <v>9902.3670115839996</v>
      </c>
      <c r="I199" s="170">
        <f>'Launches   XL   SX   DX'!$Q$9</f>
        <v>0.55000000000000004</v>
      </c>
      <c r="J199" s="169">
        <f>IF(Table2[[#This Row],[Unit ]]="","",F199+(G199*Table2[[#This Row],[Terrace Area]]))</f>
        <v>7535.8997823232003</v>
      </c>
      <c r="K199" s="171">
        <f>IF(Table2[[#This Row],[Unit ]]="","",'Launches   XL   SX   DX'!G20)</f>
        <v>5700.0000319481105</v>
      </c>
      <c r="L199" s="171">
        <v>42954629</v>
      </c>
      <c r="M199" s="172">
        <f>Table2[[#This Row],[Price/Sq.ft]]</f>
        <v>5700.0000319481105</v>
      </c>
      <c r="N199" s="209" t="e">
        <f>VLOOKUP(Table2[[#This Row],[Unit ]],'[1]Muraba Unit Wise Details '!$C$4:$L$67,10,FALSE)</f>
        <v>#N/A</v>
      </c>
      <c r="O199" s="209" t="e">
        <f>Table2[[#This Row],[Column2]]-Table2[[#This Row],[Price]]</f>
        <v>#N/A</v>
      </c>
      <c r="P199" s="209">
        <f>Table2[[#This Row],[Price]]/Table2[[#This Row],[Total Area
(Sq.ft)]]</f>
        <v>4337.8142771067523</v>
      </c>
      <c r="Q199" s="209">
        <f>Table2[[#This Row],[Price]]/Table2[[#This Row],[Sellable Area
(Sq. ft)]]</f>
        <v>5700.0000319481105</v>
      </c>
      <c r="R199" s="209"/>
    </row>
    <row r="200" spans="1:18" x14ac:dyDescent="0.35">
      <c r="A200" s="159" t="str">
        <f>IF(Table2[[#This Row],[Unit ]]="","","4 Bedroom Pool")</f>
        <v>4 Bedroom Pool</v>
      </c>
      <c r="B200" s="158" t="s">
        <v>21</v>
      </c>
      <c r="C200" s="159">
        <f>'Launches   XL   SX   DX'!D21</f>
        <v>6102</v>
      </c>
      <c r="D200" s="160" t="str">
        <f>LEFT(Table2[[#This Row],[Unit ]],2)</f>
        <v>61</v>
      </c>
      <c r="E200" s="161">
        <f>IF(Table2[[#This Row],[Unit ]]="","",_xlfn.XLOOKUP(Table2[[#This Row],[Type]],'Muraba Veil Sale Summary'!A:A,'Muraba Veil Sale Summary'!P:P))</f>
        <v>3</v>
      </c>
      <c r="F200" s="162">
        <f>IF(Table2[[#This Row],[Unit ]]="","",_xlfn.XLOOKUP(Table2[[#This Row],[Type]],'Muraba Veil Sale Summary'!$A:$A,'Muraba Veil Sale Summary'!F:F))</f>
        <v>4643.5509465599998</v>
      </c>
      <c r="G200" s="162">
        <f>IF(Table2[[#This Row],[Unit ]]="","",_xlfn.XLOOKUP(Table2[[#This Row],[Type]],'Muraba Veil Sale Summary'!$A:$A,'Muraba Veil Sale Summary'!G:G))</f>
        <v>5258.8160650240006</v>
      </c>
      <c r="H200" s="162">
        <f t="shared" si="21"/>
        <v>9902.3670115839996</v>
      </c>
      <c r="I200" s="163">
        <f>'Launches   XL   SX   DX'!$Q$9</f>
        <v>0.55000000000000004</v>
      </c>
      <c r="J200" s="162">
        <f>IF(Table2[[#This Row],[Unit ]]="","",F200+(G200*Table2[[#This Row],[Terrace Area]]))</f>
        <v>7535.8997823232003</v>
      </c>
      <c r="K200" s="8">
        <f>IF(Table2[[#This Row],[Unit ]]="","",'Launches   XL   SX   DX'!G21)</f>
        <v>6354</v>
      </c>
      <c r="L200" s="8">
        <f t="shared" ref="L200:L226" si="23">IFERROR(J200*K200,0)</f>
        <v>47883107.216881618</v>
      </c>
      <c r="M200" s="3">
        <f>Table2[[#This Row],[Price/Sq.ft]]</f>
        <v>6354</v>
      </c>
      <c r="N200" s="209" t="e">
        <f>VLOOKUP(Table2[[#This Row],[Unit ]],'[1]Muraba Unit Wise Details '!$C$4:$L$67,10,FALSE)</f>
        <v>#N/A</v>
      </c>
      <c r="O200" s="209" t="e">
        <f>Table2[[#This Row],[Column2]]-Table2[[#This Row],[Price]]</f>
        <v>#N/A</v>
      </c>
      <c r="P200" s="209">
        <f>Table2[[#This Row],[Price]]/Table2[[#This Row],[Total Area
(Sq.ft)]]</f>
        <v>4835.52136179834</v>
      </c>
      <c r="Q200" s="209">
        <f>Table2[[#This Row],[Price]]/Table2[[#This Row],[Sellable Area
(Sq. ft)]]</f>
        <v>6354</v>
      </c>
      <c r="R200" s="209"/>
    </row>
    <row r="201" spans="1:18" x14ac:dyDescent="0.35">
      <c r="A201" s="157" t="str">
        <f>IF(Table2[[#This Row],[Unit ]]="","","4 Bedroom Pool")</f>
        <v>4 Bedroom Pool</v>
      </c>
      <c r="B201" s="158" t="s">
        <v>21</v>
      </c>
      <c r="C201" s="159">
        <f>'Launches   XL   SX   DX'!D22</f>
        <v>6302</v>
      </c>
      <c r="D201" s="160" t="str">
        <f>LEFT(Table2[[#This Row],[Unit ]],2)</f>
        <v>63</v>
      </c>
      <c r="E201" s="161">
        <f>IF(Table2[[#This Row],[Unit ]]="","",_xlfn.XLOOKUP(Table2[[#This Row],[Type]],'Muraba Veil Sale Summary'!A:A,'Muraba Veil Sale Summary'!P:P))</f>
        <v>3</v>
      </c>
      <c r="F201" s="162">
        <f>IF(Table2[[#This Row],[Unit ]]="","",_xlfn.XLOOKUP(Table2[[#This Row],[Type]],'Muraba Veil Sale Summary'!$A:$A,'Muraba Veil Sale Summary'!F:F))</f>
        <v>4643.5509465599998</v>
      </c>
      <c r="G201" s="162">
        <f>IF(Table2[[#This Row],[Unit ]]="","",_xlfn.XLOOKUP(Table2[[#This Row],[Type]],'Muraba Veil Sale Summary'!$A:$A,'Muraba Veil Sale Summary'!G:G))</f>
        <v>5258.8160650240006</v>
      </c>
      <c r="H201" s="162">
        <f t="shared" si="21"/>
        <v>9902.3670115839996</v>
      </c>
      <c r="I201" s="163">
        <f>'Launches   XL   SX   DX'!$Q$9</f>
        <v>0.55000000000000004</v>
      </c>
      <c r="J201" s="162">
        <f>IF(Table2[[#This Row],[Unit ]]="","",F201+(G201*Table2[[#This Row],[Terrace Area]]))</f>
        <v>7535.8997823232003</v>
      </c>
      <c r="K201" s="8">
        <f>IF(Table2[[#This Row],[Unit ]]="","",'Launches   XL   SX   DX'!G22)</f>
        <v>6458</v>
      </c>
      <c r="L201" s="8">
        <f t="shared" si="23"/>
        <v>48666840.794243224</v>
      </c>
      <c r="M201" s="3">
        <f>Table2[[#This Row],[Price/Sq.ft]]</f>
        <v>6458</v>
      </c>
      <c r="N201" s="209" t="e">
        <f>VLOOKUP(Table2[[#This Row],[Unit ]],'[1]Muraba Unit Wise Details '!$C$4:$L$67,10,FALSE)</f>
        <v>#N/A</v>
      </c>
      <c r="O201" s="209" t="e">
        <f>Table2[[#This Row],[Column2]]-Table2[[#This Row],[Price]]</f>
        <v>#N/A</v>
      </c>
      <c r="P201" s="209">
        <f>Table2[[#This Row],[Price]]/Table2[[#This Row],[Total Area
(Sq.ft)]]</f>
        <v>4914.6674464107136</v>
      </c>
      <c r="Q201" s="209">
        <f>Table2[[#This Row],[Price]]/Table2[[#This Row],[Sellable Area
(Sq. ft)]]</f>
        <v>6458</v>
      </c>
      <c r="R201" s="209"/>
    </row>
    <row r="202" spans="1:18" x14ac:dyDescent="0.35">
      <c r="A202" s="157" t="str">
        <f>IF(Table2[[#This Row],[Unit ]]="","","4 Bedroom Pool")</f>
        <v>4 Bedroom Pool</v>
      </c>
      <c r="B202" s="158" t="s">
        <v>36</v>
      </c>
      <c r="C202" s="159">
        <f>'Launches   XL   SX   DX'!D23</f>
        <v>6402</v>
      </c>
      <c r="D202" s="160" t="str">
        <f>LEFT(Table2[[#This Row],[Unit ]],2)</f>
        <v>64</v>
      </c>
      <c r="E202" s="161">
        <f>IF(Table2[[#This Row],[Unit ]]="","",_xlfn.XLOOKUP(Table2[[#This Row],[Type]],'Muraba Veil Sale Summary'!A:A,'Muraba Veil Sale Summary'!P:P))</f>
        <v>3</v>
      </c>
      <c r="F202" s="162">
        <f>IF(Table2[[#This Row],[Unit ]]="","",_xlfn.XLOOKUP(Table2[[#This Row],[Type]],'Muraba Veil Sale Summary'!$A:$A,'Muraba Veil Sale Summary'!F:F))</f>
        <v>4643.5509465599998</v>
      </c>
      <c r="G202" s="162">
        <f>IF(Table2[[#This Row],[Unit ]]="","",_xlfn.XLOOKUP(Table2[[#This Row],[Type]],'Muraba Veil Sale Summary'!$A:$A,'Muraba Veil Sale Summary'!G:G))</f>
        <v>5258.8160650240006</v>
      </c>
      <c r="H202" s="162">
        <f t="shared" si="21"/>
        <v>9902.3670115839996</v>
      </c>
      <c r="I202" s="163">
        <f>'Launches   XL   SX   DX'!$Q$9</f>
        <v>0.55000000000000004</v>
      </c>
      <c r="J202" s="162">
        <f>IF(Table2[[#This Row],[Unit ]]="","",F202+(G202*Table2[[#This Row],[Terrace Area]]))</f>
        <v>7535.8997823232003</v>
      </c>
      <c r="K202" s="8">
        <f>IF(Table2[[#This Row],[Unit ]]="","",'Launches   XL   SX   DX'!G23)</f>
        <v>6562</v>
      </c>
      <c r="L202" s="8">
        <f t="shared" si="23"/>
        <v>49450574.371604837</v>
      </c>
      <c r="M202" s="3">
        <f>Table2[[#This Row],[Price/Sq.ft]]</f>
        <v>6562</v>
      </c>
      <c r="N202" s="209" t="e">
        <f>VLOOKUP(Table2[[#This Row],[Unit ]],'[1]Muraba Unit Wise Details '!$C$4:$L$67,10,FALSE)</f>
        <v>#N/A</v>
      </c>
      <c r="O202" s="209" t="e">
        <f>Table2[[#This Row],[Column2]]-Table2[[#This Row],[Price]]</f>
        <v>#N/A</v>
      </c>
      <c r="P202" s="209">
        <f>Table2[[#This Row],[Price]]/Table2[[#This Row],[Total Area
(Sq.ft)]]</f>
        <v>4993.8135310230882</v>
      </c>
      <c r="Q202" s="209">
        <f>Table2[[#This Row],[Price]]/Table2[[#This Row],[Sellable Area
(Sq. ft)]]</f>
        <v>6562</v>
      </c>
      <c r="R202" s="209"/>
    </row>
    <row r="203" spans="1:18" x14ac:dyDescent="0.35">
      <c r="A203" s="157" t="str">
        <f>IF(Table2[[#This Row],[Unit ]]="","","4 Bedroom Pool")</f>
        <v>4 Bedroom Pool</v>
      </c>
      <c r="B203" s="158" t="s">
        <v>21</v>
      </c>
      <c r="C203" s="159">
        <f>'Launches   XL   SX   DX'!D24</f>
        <v>6502</v>
      </c>
      <c r="D203" s="160" t="str">
        <f>LEFT(Table2[[#This Row],[Unit ]],2)</f>
        <v>65</v>
      </c>
      <c r="E203" s="161">
        <f>IF(Table2[[#This Row],[Unit ]]="","",_xlfn.XLOOKUP(Table2[[#This Row],[Type]],'Muraba Veil Sale Summary'!A:A,'Muraba Veil Sale Summary'!P:P))</f>
        <v>3</v>
      </c>
      <c r="F203" s="162">
        <f>IF(Table2[[#This Row],[Unit ]]="","",_xlfn.XLOOKUP(Table2[[#This Row],[Type]],'Muraba Veil Sale Summary'!$A:$A,'Muraba Veil Sale Summary'!F:F))</f>
        <v>4643.5509465599998</v>
      </c>
      <c r="G203" s="162">
        <f>IF(Table2[[#This Row],[Unit ]]="","",_xlfn.XLOOKUP(Table2[[#This Row],[Type]],'Muraba Veil Sale Summary'!$A:$A,'Muraba Veil Sale Summary'!G:G))</f>
        <v>5258.8160650240006</v>
      </c>
      <c r="H203" s="162">
        <f t="shared" ref="H203:H226" si="24">IFERROR(F203+G203,0)</f>
        <v>9902.3670115839996</v>
      </c>
      <c r="I203" s="163">
        <f>'Launches   XL   SX   DX'!$Q$9</f>
        <v>0.55000000000000004</v>
      </c>
      <c r="J203" s="162">
        <f>IF(Table2[[#This Row],[Unit ]]="","",F203+(G203*Table2[[#This Row],[Terrace Area]]))</f>
        <v>7535.8997823232003</v>
      </c>
      <c r="K203" s="8">
        <f>IF(Table2[[#This Row],[Unit ]]="","",'Launches   XL   SX   DX'!G24)</f>
        <v>6875.0826989530078</v>
      </c>
      <c r="L203" s="8">
        <f t="shared" si="23"/>
        <v>51809934.214493975</v>
      </c>
      <c r="M203" s="3">
        <f>Table2[[#This Row],[Price/Sq.ft]]</f>
        <v>6875.0826989530078</v>
      </c>
      <c r="N203" s="209" t="e">
        <f>VLOOKUP(Table2[[#This Row],[Unit ]],'[1]Muraba Unit Wise Details '!$C$4:$L$67,10,FALSE)</f>
        <v>#N/A</v>
      </c>
      <c r="O203" s="209" t="e">
        <f>Table2[[#This Row],[Column2]]-Table2[[#This Row],[Price]]</f>
        <v>#N/A</v>
      </c>
      <c r="P203" s="209">
        <f>Table2[[#This Row],[Price]]/Table2[[#This Row],[Total Area
(Sq.ft)]]</f>
        <v>5232.0757404654478</v>
      </c>
      <c r="Q203" s="209">
        <f>Table2[[#This Row],[Price]]/Table2[[#This Row],[Sellable Area
(Sq. ft)]]</f>
        <v>6875.0826989530078</v>
      </c>
      <c r="R203" s="209"/>
    </row>
    <row r="204" spans="1:18" x14ac:dyDescent="0.35">
      <c r="A204" s="157" t="str">
        <f>IF(Table2[[#This Row],[Unit ]]="","","4 Bedroom Pool")</f>
        <v>4 Bedroom Pool</v>
      </c>
      <c r="B204" s="158" t="s">
        <v>36</v>
      </c>
      <c r="C204" s="159">
        <f>'Launches   XL   SX   DX'!D25</f>
        <v>6602</v>
      </c>
      <c r="D204" s="160" t="str">
        <f>LEFT(Table2[[#This Row],[Unit ]],2)</f>
        <v>66</v>
      </c>
      <c r="E204" s="161">
        <f>IF(Table2[[#This Row],[Unit ]]="","",_xlfn.XLOOKUP(Table2[[#This Row],[Type]],'Muraba Veil Sale Summary'!A:A,'Muraba Veil Sale Summary'!P:P))</f>
        <v>3</v>
      </c>
      <c r="F204" s="162">
        <f>IF(Table2[[#This Row],[Unit ]]="","",_xlfn.XLOOKUP(Table2[[#This Row],[Type]],'Muraba Veil Sale Summary'!$A:$A,'Muraba Veil Sale Summary'!F:F))</f>
        <v>4643.5509465599998</v>
      </c>
      <c r="G204" s="162">
        <f>IF(Table2[[#This Row],[Unit ]]="","",_xlfn.XLOOKUP(Table2[[#This Row],[Type]],'Muraba Veil Sale Summary'!$A:$A,'Muraba Veil Sale Summary'!G:G))</f>
        <v>5258.8160650240006</v>
      </c>
      <c r="H204" s="162">
        <f t="shared" si="24"/>
        <v>9902.3670115839996</v>
      </c>
      <c r="I204" s="163">
        <f>'Launches   XL   SX   DX'!$Q$9</f>
        <v>0.55000000000000004</v>
      </c>
      <c r="J204" s="162">
        <f>IF(Table2[[#This Row],[Unit ]]="","",F204+(G204*Table2[[#This Row],[Terrace Area]]))</f>
        <v>7535.8997823232003</v>
      </c>
      <c r="K204" s="8">
        <f>IF(Table2[[#This Row],[Unit ]]="","",'Launches   XL   SX   DX'!G25)</f>
        <v>6979.0826989530087</v>
      </c>
      <c r="L204" s="8">
        <f t="shared" si="23"/>
        <v>52593667.791855589</v>
      </c>
      <c r="M204" s="3">
        <f>Table2[[#This Row],[Price/Sq.ft]]</f>
        <v>6979.0826989530087</v>
      </c>
      <c r="N204" s="209" t="e">
        <f>VLOOKUP(Table2[[#This Row],[Unit ]],'[1]Muraba Unit Wise Details '!$C$4:$L$67,10,FALSE)</f>
        <v>#N/A</v>
      </c>
      <c r="O204" s="209" t="e">
        <f>Table2[[#This Row],[Column2]]-Table2[[#This Row],[Price]]</f>
        <v>#N/A</v>
      </c>
      <c r="P204" s="209">
        <f>Table2[[#This Row],[Price]]/Table2[[#This Row],[Total Area
(Sq.ft)]]</f>
        <v>5311.2218250778224</v>
      </c>
      <c r="Q204" s="209">
        <f>Table2[[#This Row],[Price]]/Table2[[#This Row],[Sellable Area
(Sq. ft)]]</f>
        <v>6979.0826989530087</v>
      </c>
      <c r="R204" s="209"/>
    </row>
    <row r="205" spans="1:18" x14ac:dyDescent="0.35">
      <c r="A205" s="157" t="str">
        <f>IF(Table2[[#This Row],[Unit ]]="","","4 Bedroom Pool")</f>
        <v>4 Bedroom Pool</v>
      </c>
      <c r="B205" s="158" t="s">
        <v>21</v>
      </c>
      <c r="C205" s="159">
        <f>'Launches   XL   SX   DX'!D26</f>
        <v>6802</v>
      </c>
      <c r="D205" s="160" t="str">
        <f>LEFT(Table2[[#This Row],[Unit ]],2)</f>
        <v>68</v>
      </c>
      <c r="E205" s="161">
        <f>IF(Table2[[#This Row],[Unit ]]="","",_xlfn.XLOOKUP(Table2[[#This Row],[Type]],'Muraba Veil Sale Summary'!A:A,'Muraba Veil Sale Summary'!P:P))</f>
        <v>3</v>
      </c>
      <c r="F205" s="162">
        <f>IF(Table2[[#This Row],[Unit ]]="","",_xlfn.XLOOKUP(Table2[[#This Row],[Type]],'Muraba Veil Sale Summary'!$A:$A,'Muraba Veil Sale Summary'!F:F))</f>
        <v>4643.5509465599998</v>
      </c>
      <c r="G205" s="162">
        <f>IF(Table2[[#This Row],[Unit ]]="","",_xlfn.XLOOKUP(Table2[[#This Row],[Type]],'Muraba Veil Sale Summary'!$A:$A,'Muraba Veil Sale Summary'!G:G))</f>
        <v>5258.8160650240006</v>
      </c>
      <c r="H205" s="162">
        <f t="shared" si="24"/>
        <v>9902.3670115839996</v>
      </c>
      <c r="I205" s="163">
        <f>'Launches   XL   SX   DX'!$Q$9</f>
        <v>0.55000000000000004</v>
      </c>
      <c r="J205" s="162">
        <f>IF(Table2[[#This Row],[Unit ]]="","",F205+(G205*Table2[[#This Row],[Terrace Area]]))</f>
        <v>7535.8997823232003</v>
      </c>
      <c r="K205" s="8">
        <f>IF(Table2[[#This Row],[Unit ]]="","",'Launches   XL   SX   DX'!G26)</f>
        <v>7083.0826989530087</v>
      </c>
      <c r="L205" s="8">
        <f t="shared" si="23"/>
        <v>53377401.369217202</v>
      </c>
      <c r="M205" s="3">
        <f>Table2[[#This Row],[Price/Sq.ft]]</f>
        <v>7083.0826989530087</v>
      </c>
      <c r="N205" s="209" t="e">
        <f>VLOOKUP(Table2[[#This Row],[Unit ]],'[1]Muraba Unit Wise Details '!$C$4:$L$67,10,FALSE)</f>
        <v>#N/A</v>
      </c>
      <c r="O205" s="209" t="e">
        <f>Table2[[#This Row],[Column2]]-Table2[[#This Row],[Price]]</f>
        <v>#N/A</v>
      </c>
      <c r="P205" s="209">
        <f>Table2[[#This Row],[Price]]/Table2[[#This Row],[Total Area
(Sq.ft)]]</f>
        <v>5390.3679096901969</v>
      </c>
      <c r="Q205" s="209">
        <f>Table2[[#This Row],[Price]]/Table2[[#This Row],[Sellable Area
(Sq. ft)]]</f>
        <v>7083.0826989530087</v>
      </c>
      <c r="R205" s="209"/>
    </row>
    <row r="206" spans="1:18" x14ac:dyDescent="0.35">
      <c r="A206" s="157" t="str">
        <f>IF(Table2[[#This Row],[Unit ]]="","","4 Bedroom Pool")</f>
        <v/>
      </c>
      <c r="B206" s="158" t="s">
        <v>21</v>
      </c>
      <c r="C206" s="159" t="str">
        <f>'Launches   XL   SX   DX'!D27</f>
        <v/>
      </c>
      <c r="D206" s="160" t="str">
        <f>LEFT(Table2[[#This Row],[Unit ]],2)</f>
        <v/>
      </c>
      <c r="E206" s="161" t="str">
        <f>IF(Table2[[#This Row],[Unit ]]="","",_xlfn.XLOOKUP(Table2[[#This Row],[Type]],'Muraba Veil Sale Summary'!A:A,'Muraba Veil Sale Summary'!P:P))</f>
        <v/>
      </c>
      <c r="F206" s="162" t="str">
        <f>IF(Table2[[#This Row],[Unit ]]="","",_xlfn.XLOOKUP(Table2[[#This Row],[Type]],'Muraba Veil Sale Summary'!$A:$A,'Muraba Veil Sale Summary'!F:F))</f>
        <v/>
      </c>
      <c r="G206" s="162" t="str">
        <f>IF(Table2[[#This Row],[Unit ]]="","",_xlfn.XLOOKUP(Table2[[#This Row],[Type]],'Muraba Veil Sale Summary'!$A:$A,'Muraba Veil Sale Summary'!G:G))</f>
        <v/>
      </c>
      <c r="H206" s="162">
        <f t="shared" si="24"/>
        <v>0</v>
      </c>
      <c r="I206" s="163">
        <f>'Launches   XL   SX   DX'!$Q$9</f>
        <v>0.55000000000000004</v>
      </c>
      <c r="J206" s="162" t="str">
        <f>IF(Table2[[#This Row],[Unit ]]="","",F206+(G206*Table2[[#This Row],[Terrace Area]]))</f>
        <v/>
      </c>
      <c r="K206" s="8" t="str">
        <f>IF(Table2[[#This Row],[Unit ]]="","",'Launches   XL   SX   DX'!G27)</f>
        <v/>
      </c>
      <c r="L206" s="8">
        <f t="shared" si="23"/>
        <v>0</v>
      </c>
      <c r="M206" s="3" t="str">
        <f>Table2[[#This Row],[Price/Sq.ft]]</f>
        <v/>
      </c>
      <c r="N206" s="209" t="e">
        <f>VLOOKUP(Table2[[#This Row],[Unit ]],'[1]Muraba Unit Wise Details '!$C$4:$L$67,10,FALSE)</f>
        <v>#N/A</v>
      </c>
      <c r="O206" s="209" t="e">
        <f>Table2[[#This Row],[Column2]]-Table2[[#This Row],[Price]]</f>
        <v>#N/A</v>
      </c>
      <c r="P206" s="209" t="e">
        <f>Table2[[#This Row],[Price]]/Table2[[#This Row],[Total Area
(Sq.ft)]]</f>
        <v>#DIV/0!</v>
      </c>
      <c r="Q206" s="209" t="e">
        <f>Table2[[#This Row],[Price]]/Table2[[#This Row],[Sellable Area
(Sq. ft)]]</f>
        <v>#VALUE!</v>
      </c>
      <c r="R206" s="209"/>
    </row>
    <row r="207" spans="1:18" x14ac:dyDescent="0.35">
      <c r="A207" s="157" t="str">
        <f>IF(Table2[[#This Row],[Unit ]]="","","4 Bedroom Pool")</f>
        <v/>
      </c>
      <c r="B207" s="158" t="s">
        <v>21</v>
      </c>
      <c r="C207" s="159" t="str">
        <f>'Launches   XL   SX   DX'!D28</f>
        <v/>
      </c>
      <c r="D207" s="160" t="str">
        <f>LEFT(Table2[[#This Row],[Unit ]],2)</f>
        <v/>
      </c>
      <c r="E207" s="161" t="str">
        <f>IF(Table2[[#This Row],[Unit ]]="","",_xlfn.XLOOKUP(Table2[[#This Row],[Type]],'Muraba Veil Sale Summary'!A:A,'Muraba Veil Sale Summary'!P:P))</f>
        <v/>
      </c>
      <c r="F207" s="162" t="str">
        <f>IF(Table2[[#This Row],[Unit ]]="","",_xlfn.XLOOKUP(Table2[[#This Row],[Type]],'Muraba Veil Sale Summary'!$A:$A,'Muraba Veil Sale Summary'!F:F))</f>
        <v/>
      </c>
      <c r="G207" s="162" t="str">
        <f>IF(Table2[[#This Row],[Unit ]]="","",_xlfn.XLOOKUP(Table2[[#This Row],[Type]],'Muraba Veil Sale Summary'!$A:$A,'Muraba Veil Sale Summary'!G:G))</f>
        <v/>
      </c>
      <c r="H207" s="162">
        <f t="shared" si="24"/>
        <v>0</v>
      </c>
      <c r="I207" s="163">
        <f>'Launches   XL   SX   DX'!$Q$9</f>
        <v>0.55000000000000004</v>
      </c>
      <c r="J207" s="162" t="str">
        <f>IF(Table2[[#This Row],[Unit ]]="","",F207+(G207*Table2[[#This Row],[Terrace Area]]))</f>
        <v/>
      </c>
      <c r="K207" s="8" t="str">
        <f>IF(Table2[[#This Row],[Unit ]]="","",'Launches   XL   SX   DX'!G28)</f>
        <v/>
      </c>
      <c r="L207" s="8">
        <f t="shared" si="23"/>
        <v>0</v>
      </c>
      <c r="M207" s="3" t="str">
        <f>Table2[[#This Row],[Price/Sq.ft]]</f>
        <v/>
      </c>
      <c r="N207" s="209" t="e">
        <f>VLOOKUP(Table2[[#This Row],[Unit ]],'[1]Muraba Unit Wise Details '!$C$4:$L$67,10,FALSE)</f>
        <v>#N/A</v>
      </c>
      <c r="O207" s="209" t="e">
        <f>Table2[[#This Row],[Column2]]-Table2[[#This Row],[Price]]</f>
        <v>#N/A</v>
      </c>
      <c r="P207" s="209" t="e">
        <f>Table2[[#This Row],[Price]]/Table2[[#This Row],[Total Area
(Sq.ft)]]</f>
        <v>#DIV/0!</v>
      </c>
      <c r="Q207" s="209" t="e">
        <f>Table2[[#This Row],[Price]]/Table2[[#This Row],[Sellable Area
(Sq. ft)]]</f>
        <v>#VALUE!</v>
      </c>
      <c r="R207" s="209"/>
    </row>
    <row r="208" spans="1:18" x14ac:dyDescent="0.35">
      <c r="A208" s="157" t="str">
        <f>IF(Table2[[#This Row],[Unit ]]="","","4 Bedroom Pool")</f>
        <v/>
      </c>
      <c r="B208" s="158" t="s">
        <v>36</v>
      </c>
      <c r="C208" s="159" t="str">
        <f>'Launches   XL   SX   DX'!D29</f>
        <v/>
      </c>
      <c r="D208" s="160" t="str">
        <f>LEFT(Table2[[#This Row],[Unit ]],2)</f>
        <v/>
      </c>
      <c r="E208" s="161" t="str">
        <f>IF(Table2[[#This Row],[Unit ]]="","",_xlfn.XLOOKUP(Table2[[#This Row],[Type]],'Muraba Veil Sale Summary'!A:A,'Muraba Veil Sale Summary'!P:P))</f>
        <v/>
      </c>
      <c r="F208" s="162" t="str">
        <f>IF(Table2[[#This Row],[Unit ]]="","",_xlfn.XLOOKUP(Table2[[#This Row],[Type]],'Muraba Veil Sale Summary'!$A:$A,'Muraba Veil Sale Summary'!F:F))</f>
        <v/>
      </c>
      <c r="G208" s="162" t="str">
        <f>IF(Table2[[#This Row],[Unit ]]="","",_xlfn.XLOOKUP(Table2[[#This Row],[Type]],'Muraba Veil Sale Summary'!$A:$A,'Muraba Veil Sale Summary'!G:G))</f>
        <v/>
      </c>
      <c r="H208" s="162">
        <f t="shared" si="24"/>
        <v>0</v>
      </c>
      <c r="I208" s="163">
        <f>'Launches   XL   SX   DX'!$Q$9</f>
        <v>0.55000000000000004</v>
      </c>
      <c r="J208" s="162" t="str">
        <f>IF(Table2[[#This Row],[Unit ]]="","",F208+(G208*Table2[[#This Row],[Terrace Area]]))</f>
        <v/>
      </c>
      <c r="K208" s="8" t="str">
        <f>IF(Table2[[#This Row],[Unit ]]="","",'Launches   XL   SX   DX'!G29)</f>
        <v/>
      </c>
      <c r="L208" s="8">
        <f t="shared" si="23"/>
        <v>0</v>
      </c>
      <c r="M208" s="3" t="str">
        <f>Table2[[#This Row],[Price/Sq.ft]]</f>
        <v/>
      </c>
      <c r="N208" s="209" t="e">
        <f>VLOOKUP(Table2[[#This Row],[Unit ]],'[1]Muraba Unit Wise Details '!$C$4:$L$67,10,FALSE)</f>
        <v>#N/A</v>
      </c>
      <c r="O208" s="209" t="e">
        <f>Table2[[#This Row],[Column2]]-Table2[[#This Row],[Price]]</f>
        <v>#N/A</v>
      </c>
      <c r="P208" s="209" t="e">
        <f>Table2[[#This Row],[Price]]/Table2[[#This Row],[Total Area
(Sq.ft)]]</f>
        <v>#DIV/0!</v>
      </c>
      <c r="Q208" s="209" t="e">
        <f>Table2[[#This Row],[Price]]/Table2[[#This Row],[Sellable Area
(Sq. ft)]]</f>
        <v>#VALUE!</v>
      </c>
      <c r="R208" s="209"/>
    </row>
    <row r="209" spans="1:18" x14ac:dyDescent="0.35">
      <c r="A209" s="157" t="str">
        <f>IF(Table2[[#This Row],[Unit ]]="","","4 Bedroom Pool")</f>
        <v/>
      </c>
      <c r="B209" s="158" t="s">
        <v>21</v>
      </c>
      <c r="C209" s="159" t="str">
        <f>'Launches   XL   SX   DX'!D30</f>
        <v/>
      </c>
      <c r="D209" s="160" t="str">
        <f>LEFT(Table2[[#This Row],[Unit ]],2)</f>
        <v/>
      </c>
      <c r="E209" s="161" t="str">
        <f>IF(Table2[[#This Row],[Unit ]]="","",_xlfn.XLOOKUP(Table2[[#This Row],[Type]],'Muraba Veil Sale Summary'!A:A,'Muraba Veil Sale Summary'!P:P))</f>
        <v/>
      </c>
      <c r="F209" s="162" t="str">
        <f>IF(Table2[[#This Row],[Unit ]]="","",_xlfn.XLOOKUP(Table2[[#This Row],[Type]],'Muraba Veil Sale Summary'!$A:$A,'Muraba Veil Sale Summary'!F:F))</f>
        <v/>
      </c>
      <c r="G209" s="162" t="str">
        <f>IF(Table2[[#This Row],[Unit ]]="","",_xlfn.XLOOKUP(Table2[[#This Row],[Type]],'Muraba Veil Sale Summary'!$A:$A,'Muraba Veil Sale Summary'!G:G))</f>
        <v/>
      </c>
      <c r="H209" s="162">
        <f t="shared" si="24"/>
        <v>0</v>
      </c>
      <c r="I209" s="163">
        <f>'Launches   XL   SX   DX'!$Q$9</f>
        <v>0.55000000000000004</v>
      </c>
      <c r="J209" s="162" t="str">
        <f>IF(Table2[[#This Row],[Unit ]]="","",F209+(G209*Table2[[#This Row],[Terrace Area]]))</f>
        <v/>
      </c>
      <c r="K209" s="8" t="str">
        <f>IF(Table2[[#This Row],[Unit ]]="","",'Launches   XL   SX   DX'!G30)</f>
        <v/>
      </c>
      <c r="L209" s="8">
        <f t="shared" si="23"/>
        <v>0</v>
      </c>
      <c r="M209" s="3" t="str">
        <f>Table2[[#This Row],[Price/Sq.ft]]</f>
        <v/>
      </c>
      <c r="N209" s="209" t="e">
        <f>VLOOKUP(Table2[[#This Row],[Unit ]],'[1]Muraba Unit Wise Details '!$C$4:$L$67,10,FALSE)</f>
        <v>#N/A</v>
      </c>
      <c r="O209" s="209" t="e">
        <f>Table2[[#This Row],[Column2]]-Table2[[#This Row],[Price]]</f>
        <v>#N/A</v>
      </c>
      <c r="P209" s="209" t="e">
        <f>Table2[[#This Row],[Price]]/Table2[[#This Row],[Total Area
(Sq.ft)]]</f>
        <v>#DIV/0!</v>
      </c>
      <c r="Q209" s="209" t="e">
        <f>Table2[[#This Row],[Price]]/Table2[[#This Row],[Sellable Area
(Sq. ft)]]</f>
        <v>#VALUE!</v>
      </c>
      <c r="R209" s="209"/>
    </row>
    <row r="210" spans="1:18" x14ac:dyDescent="0.35">
      <c r="A210" s="157" t="str">
        <f>IF(Table2[[#This Row],[Unit ]]="","","4 Bedroom Pool")</f>
        <v/>
      </c>
      <c r="B210" s="158" t="s">
        <v>21</v>
      </c>
      <c r="C210" s="159" t="str">
        <f>'Launches   XL   SX   DX'!D31</f>
        <v/>
      </c>
      <c r="D210" s="160" t="str">
        <f>LEFT(Table2[[#This Row],[Unit ]],2)</f>
        <v/>
      </c>
      <c r="E210" s="161" t="str">
        <f>IF(Table2[[#This Row],[Unit ]]="","",_xlfn.XLOOKUP(Table2[[#This Row],[Type]],'Muraba Veil Sale Summary'!A:A,'Muraba Veil Sale Summary'!P:P))</f>
        <v/>
      </c>
      <c r="F210" s="162" t="str">
        <f>IF(Table2[[#This Row],[Unit ]]="","",_xlfn.XLOOKUP(Table2[[#This Row],[Type]],'Muraba Veil Sale Summary'!$A:$A,'Muraba Veil Sale Summary'!F:F))</f>
        <v/>
      </c>
      <c r="G210" s="162" t="str">
        <f>IF(Table2[[#This Row],[Unit ]]="","",_xlfn.XLOOKUP(Table2[[#This Row],[Type]],'Muraba Veil Sale Summary'!$A:$A,'Muraba Veil Sale Summary'!G:G))</f>
        <v/>
      </c>
      <c r="H210" s="162">
        <f t="shared" si="24"/>
        <v>0</v>
      </c>
      <c r="I210" s="163">
        <f>'Launches   XL   SX   DX'!$Q$9</f>
        <v>0.55000000000000004</v>
      </c>
      <c r="J210" s="162" t="str">
        <f>IF(Table2[[#This Row],[Unit ]]="","",F210+(G210*Table2[[#This Row],[Terrace Area]]))</f>
        <v/>
      </c>
      <c r="K210" s="8" t="str">
        <f>IF(Table2[[#This Row],[Unit ]]="","",'Launches   XL   SX   DX'!G31)</f>
        <v/>
      </c>
      <c r="L210" s="8">
        <f t="shared" si="23"/>
        <v>0</v>
      </c>
      <c r="M210" s="3" t="str">
        <f>Table2[[#This Row],[Price/Sq.ft]]</f>
        <v/>
      </c>
      <c r="N210" s="209" t="e">
        <f>VLOOKUP(Table2[[#This Row],[Unit ]],'[1]Muraba Unit Wise Details '!$C$4:$L$67,10,FALSE)</f>
        <v>#N/A</v>
      </c>
      <c r="O210" s="209" t="e">
        <f>Table2[[#This Row],[Column2]]-Table2[[#This Row],[Price]]</f>
        <v>#N/A</v>
      </c>
      <c r="P210" s="209" t="e">
        <f>Table2[[#This Row],[Price]]/Table2[[#This Row],[Total Area
(Sq.ft)]]</f>
        <v>#DIV/0!</v>
      </c>
      <c r="Q210" s="209" t="e">
        <f>Table2[[#This Row],[Price]]/Table2[[#This Row],[Sellable Area
(Sq. ft)]]</f>
        <v>#VALUE!</v>
      </c>
      <c r="R210" s="209"/>
    </row>
    <row r="211" spans="1:18" x14ac:dyDescent="0.35">
      <c r="A211" s="157" t="str">
        <f>IF(Table2[[#This Row],[Unit ]]="","","4 Bedroom Pool")</f>
        <v/>
      </c>
      <c r="B211" s="158" t="s">
        <v>21</v>
      </c>
      <c r="C211" s="159" t="str">
        <f>'Launches   XL   SX   DX'!D32</f>
        <v/>
      </c>
      <c r="D211" s="160" t="str">
        <f>LEFT(Table2[[#This Row],[Unit ]],2)</f>
        <v/>
      </c>
      <c r="E211" s="161" t="str">
        <f>IF(Table2[[#This Row],[Unit ]]="","",_xlfn.XLOOKUP(Table2[[#This Row],[Type]],'Muraba Veil Sale Summary'!A:A,'Muraba Veil Sale Summary'!P:P))</f>
        <v/>
      </c>
      <c r="F211" s="162" t="str">
        <f>IF(Table2[[#This Row],[Unit ]]="","",_xlfn.XLOOKUP(Table2[[#This Row],[Type]],'Muraba Veil Sale Summary'!$A:$A,'Muraba Veil Sale Summary'!F:F))</f>
        <v/>
      </c>
      <c r="G211" s="162" t="str">
        <f>IF(Table2[[#This Row],[Unit ]]="","",_xlfn.XLOOKUP(Table2[[#This Row],[Type]],'Muraba Veil Sale Summary'!$A:$A,'Muraba Veil Sale Summary'!G:G))</f>
        <v/>
      </c>
      <c r="H211" s="162">
        <f t="shared" si="24"/>
        <v>0</v>
      </c>
      <c r="I211" s="163">
        <f>'Launches   XL   SX   DX'!$Q$9</f>
        <v>0.55000000000000004</v>
      </c>
      <c r="J211" s="162" t="str">
        <f>IF(Table2[[#This Row],[Unit ]]="","",F211+(G211*Table2[[#This Row],[Terrace Area]]))</f>
        <v/>
      </c>
      <c r="K211" s="8" t="str">
        <f>IF(Table2[[#This Row],[Unit ]]="","",'Launches   XL   SX   DX'!G32)</f>
        <v/>
      </c>
      <c r="L211" s="8">
        <f t="shared" si="23"/>
        <v>0</v>
      </c>
      <c r="M211" s="3" t="str">
        <f>Table2[[#This Row],[Price/Sq.ft]]</f>
        <v/>
      </c>
      <c r="N211" s="209" t="e">
        <f>VLOOKUP(Table2[[#This Row],[Unit ]],'[1]Muraba Unit Wise Details '!$C$4:$L$67,10,FALSE)</f>
        <v>#N/A</v>
      </c>
      <c r="O211" s="209" t="e">
        <f>Table2[[#This Row],[Column2]]-Table2[[#This Row],[Price]]</f>
        <v>#N/A</v>
      </c>
      <c r="P211" s="209" t="e">
        <f>Table2[[#This Row],[Price]]/Table2[[#This Row],[Total Area
(Sq.ft)]]</f>
        <v>#DIV/0!</v>
      </c>
      <c r="Q211" s="209" t="e">
        <f>Table2[[#This Row],[Price]]/Table2[[#This Row],[Sellable Area
(Sq. ft)]]</f>
        <v>#VALUE!</v>
      </c>
      <c r="R211" s="209"/>
    </row>
    <row r="212" spans="1:18" x14ac:dyDescent="0.35">
      <c r="A212" s="157" t="str">
        <f>IF(Table2[[#This Row],[Unit ]]="","","4 Bedroom Pool")</f>
        <v/>
      </c>
      <c r="B212" s="158" t="s">
        <v>36</v>
      </c>
      <c r="C212" s="159" t="str">
        <f>'Launches   XL   SX   DX'!D33</f>
        <v/>
      </c>
      <c r="D212" s="160" t="str">
        <f>LEFT(Table2[[#This Row],[Unit ]],2)</f>
        <v/>
      </c>
      <c r="E212" s="161" t="str">
        <f>IF(Table2[[#This Row],[Unit ]]="","",_xlfn.XLOOKUP(Table2[[#This Row],[Type]],'Muraba Veil Sale Summary'!A:A,'Muraba Veil Sale Summary'!P:P))</f>
        <v/>
      </c>
      <c r="F212" s="162" t="str">
        <f>IF(Table2[[#This Row],[Unit ]]="","",_xlfn.XLOOKUP(Table2[[#This Row],[Type]],'Muraba Veil Sale Summary'!$A:$A,'Muraba Veil Sale Summary'!F:F))</f>
        <v/>
      </c>
      <c r="G212" s="162" t="str">
        <f>IF(Table2[[#This Row],[Unit ]]="","",_xlfn.XLOOKUP(Table2[[#This Row],[Type]],'Muraba Veil Sale Summary'!$A:$A,'Muraba Veil Sale Summary'!G:G))</f>
        <v/>
      </c>
      <c r="H212" s="162">
        <f t="shared" si="24"/>
        <v>0</v>
      </c>
      <c r="I212" s="163">
        <f>'Launches   XL   SX   DX'!$Q$9</f>
        <v>0.55000000000000004</v>
      </c>
      <c r="J212" s="162" t="str">
        <f>IF(Table2[[#This Row],[Unit ]]="","",F212+(G212*Table2[[#This Row],[Terrace Area]]))</f>
        <v/>
      </c>
      <c r="K212" s="8" t="str">
        <f>IF(Table2[[#This Row],[Unit ]]="","",'Launches   XL   SX   DX'!G33)</f>
        <v/>
      </c>
      <c r="L212" s="8">
        <f t="shared" si="23"/>
        <v>0</v>
      </c>
      <c r="M212" s="3" t="str">
        <f>Table2[[#This Row],[Price/Sq.ft]]</f>
        <v/>
      </c>
      <c r="N212" s="209" t="e">
        <f>VLOOKUP(Table2[[#This Row],[Unit ]],'[1]Muraba Unit Wise Details '!$C$4:$L$67,10,FALSE)</f>
        <v>#N/A</v>
      </c>
      <c r="O212" s="209" t="e">
        <f>Table2[[#This Row],[Column2]]-Table2[[#This Row],[Price]]</f>
        <v>#N/A</v>
      </c>
      <c r="P212" s="209" t="e">
        <f>Table2[[#This Row],[Price]]/Table2[[#This Row],[Total Area
(Sq.ft)]]</f>
        <v>#DIV/0!</v>
      </c>
      <c r="Q212" s="209" t="e">
        <f>Table2[[#This Row],[Price]]/Table2[[#This Row],[Sellable Area
(Sq. ft)]]</f>
        <v>#VALUE!</v>
      </c>
      <c r="R212" s="209"/>
    </row>
    <row r="213" spans="1:18" x14ac:dyDescent="0.35">
      <c r="A213" s="157" t="str">
        <f>IF(Table2[[#This Row],[Unit ]]="","","4 Bedroom Pool")</f>
        <v/>
      </c>
      <c r="B213" s="158" t="s">
        <v>21</v>
      </c>
      <c r="C213" s="159" t="str">
        <f>'Launches   XL   SX   DX'!D34</f>
        <v/>
      </c>
      <c r="D213" s="160" t="str">
        <f>LEFT(Table2[[#This Row],[Unit ]],2)</f>
        <v/>
      </c>
      <c r="E213" s="161" t="str">
        <f>IF(Table2[[#This Row],[Unit ]]="","",_xlfn.XLOOKUP(Table2[[#This Row],[Type]],'Muraba Veil Sale Summary'!A:A,'Muraba Veil Sale Summary'!P:P))</f>
        <v/>
      </c>
      <c r="F213" s="162" t="str">
        <f>IF(Table2[[#This Row],[Unit ]]="","",_xlfn.XLOOKUP(Table2[[#This Row],[Type]],'Muraba Veil Sale Summary'!$A:$A,'Muraba Veil Sale Summary'!F:F))</f>
        <v/>
      </c>
      <c r="G213" s="162" t="str">
        <f>IF(Table2[[#This Row],[Unit ]]="","",_xlfn.XLOOKUP(Table2[[#This Row],[Type]],'Muraba Veil Sale Summary'!$A:$A,'Muraba Veil Sale Summary'!G:G))</f>
        <v/>
      </c>
      <c r="H213" s="162">
        <f t="shared" si="24"/>
        <v>0</v>
      </c>
      <c r="I213" s="163">
        <f>'Launches   XL   SX   DX'!$Q$9</f>
        <v>0.55000000000000004</v>
      </c>
      <c r="J213" s="162" t="str">
        <f>IF(Table2[[#This Row],[Unit ]]="","",F213+(G213*Table2[[#This Row],[Terrace Area]]))</f>
        <v/>
      </c>
      <c r="K213" s="8" t="str">
        <f>IF(Table2[[#This Row],[Unit ]]="","",'Launches   XL   SX   DX'!G34)</f>
        <v/>
      </c>
      <c r="L213" s="8">
        <f t="shared" si="23"/>
        <v>0</v>
      </c>
      <c r="M213" s="3" t="str">
        <f>Table2[[#This Row],[Price/Sq.ft]]</f>
        <v/>
      </c>
      <c r="N213" s="209" t="e">
        <f>VLOOKUP(Table2[[#This Row],[Unit ]],'[1]Muraba Unit Wise Details '!$C$4:$L$67,10,FALSE)</f>
        <v>#N/A</v>
      </c>
      <c r="O213" s="209" t="e">
        <f>Table2[[#This Row],[Column2]]-Table2[[#This Row],[Price]]</f>
        <v>#N/A</v>
      </c>
      <c r="P213" s="209" t="e">
        <f>Table2[[#This Row],[Price]]/Table2[[#This Row],[Total Area
(Sq.ft)]]</f>
        <v>#DIV/0!</v>
      </c>
      <c r="Q213" s="209" t="e">
        <f>Table2[[#This Row],[Price]]/Table2[[#This Row],[Sellable Area
(Sq. ft)]]</f>
        <v>#VALUE!</v>
      </c>
      <c r="R213" s="209"/>
    </row>
    <row r="214" spans="1:18" x14ac:dyDescent="0.35">
      <c r="A214" s="157" t="str">
        <f>IF(Table2[[#This Row],[Unit ]]="","","4 Bedroom Pool")</f>
        <v/>
      </c>
      <c r="B214" s="158" t="s">
        <v>21</v>
      </c>
      <c r="C214" s="159" t="str">
        <f>'Launches   XL   SX   DX'!D35</f>
        <v/>
      </c>
      <c r="D214" s="160" t="str">
        <f>LEFT(Table2[[#This Row],[Unit ]],2)</f>
        <v/>
      </c>
      <c r="E214" s="161" t="str">
        <f>IF(Table2[[#This Row],[Unit ]]="","",_xlfn.XLOOKUP(Table2[[#This Row],[Type]],'Muraba Veil Sale Summary'!A:A,'Muraba Veil Sale Summary'!P:P))</f>
        <v/>
      </c>
      <c r="F214" s="162" t="str">
        <f>IF(Table2[[#This Row],[Unit ]]="","",_xlfn.XLOOKUP(Table2[[#This Row],[Type]],'Muraba Veil Sale Summary'!$A:$A,'Muraba Veil Sale Summary'!F:F))</f>
        <v/>
      </c>
      <c r="G214" s="162" t="str">
        <f>IF(Table2[[#This Row],[Unit ]]="","",_xlfn.XLOOKUP(Table2[[#This Row],[Type]],'Muraba Veil Sale Summary'!$A:$A,'Muraba Veil Sale Summary'!G:G))</f>
        <v/>
      </c>
      <c r="H214" s="162">
        <f t="shared" si="24"/>
        <v>0</v>
      </c>
      <c r="I214" s="163">
        <f>'Launches   XL   SX   DX'!$Q$9</f>
        <v>0.55000000000000004</v>
      </c>
      <c r="J214" s="162" t="str">
        <f>IF(Table2[[#This Row],[Unit ]]="","",F214+(G214*Table2[[#This Row],[Terrace Area]]))</f>
        <v/>
      </c>
      <c r="K214" s="8" t="str">
        <f>IF(Table2[[#This Row],[Unit ]]="","",'Launches   XL   SX   DX'!G35)</f>
        <v/>
      </c>
      <c r="L214" s="8">
        <f t="shared" si="23"/>
        <v>0</v>
      </c>
      <c r="M214" s="3" t="str">
        <f>Table2[[#This Row],[Price/Sq.ft]]</f>
        <v/>
      </c>
      <c r="N214" s="209" t="e">
        <f>VLOOKUP(Table2[[#This Row],[Unit ]],'[1]Muraba Unit Wise Details '!$C$4:$L$67,10,FALSE)</f>
        <v>#N/A</v>
      </c>
      <c r="O214" s="209" t="e">
        <f>Table2[[#This Row],[Column2]]-Table2[[#This Row],[Price]]</f>
        <v>#N/A</v>
      </c>
      <c r="P214" s="209" t="e">
        <f>Table2[[#This Row],[Price]]/Table2[[#This Row],[Total Area
(Sq.ft)]]</f>
        <v>#DIV/0!</v>
      </c>
      <c r="Q214" s="209" t="e">
        <f>Table2[[#This Row],[Price]]/Table2[[#This Row],[Sellable Area
(Sq. ft)]]</f>
        <v>#VALUE!</v>
      </c>
      <c r="R214" s="209"/>
    </row>
    <row r="215" spans="1:18" x14ac:dyDescent="0.35">
      <c r="A215" s="157" t="str">
        <f>IF(Table2[[#This Row],[Unit ]]="","","4 Bedroom Pool")</f>
        <v/>
      </c>
      <c r="B215" s="158" t="s">
        <v>21</v>
      </c>
      <c r="C215" s="159" t="str">
        <f>'Launches   XL   SX   DX'!D36</f>
        <v/>
      </c>
      <c r="D215" s="160" t="str">
        <f>LEFT(Table2[[#This Row],[Unit ]],2)</f>
        <v/>
      </c>
      <c r="E215" s="161" t="str">
        <f>IF(Table2[[#This Row],[Unit ]]="","",_xlfn.XLOOKUP(Table2[[#This Row],[Type]],'Muraba Veil Sale Summary'!A:A,'Muraba Veil Sale Summary'!P:P))</f>
        <v/>
      </c>
      <c r="F215" s="162" t="str">
        <f>IF(Table2[[#This Row],[Unit ]]="","",_xlfn.XLOOKUP(Table2[[#This Row],[Type]],'Muraba Veil Sale Summary'!$A:$A,'Muraba Veil Sale Summary'!F:F))</f>
        <v/>
      </c>
      <c r="G215" s="162" t="str">
        <f>IF(Table2[[#This Row],[Unit ]]="","",_xlfn.XLOOKUP(Table2[[#This Row],[Type]],'Muraba Veil Sale Summary'!$A:$A,'Muraba Veil Sale Summary'!G:G))</f>
        <v/>
      </c>
      <c r="H215" s="162">
        <f t="shared" si="24"/>
        <v>0</v>
      </c>
      <c r="I215" s="163">
        <f>'Launches   XL   SX   DX'!$Q$9</f>
        <v>0.55000000000000004</v>
      </c>
      <c r="J215" s="162" t="str">
        <f>IF(Table2[[#This Row],[Unit ]]="","",F215+(G215*Table2[[#This Row],[Terrace Area]]))</f>
        <v/>
      </c>
      <c r="K215" s="8" t="str">
        <f>IF(Table2[[#This Row],[Unit ]]="","",'Launches   XL   SX   DX'!G36)</f>
        <v/>
      </c>
      <c r="L215" s="8">
        <f t="shared" si="23"/>
        <v>0</v>
      </c>
      <c r="M215" s="3" t="str">
        <f>Table2[[#This Row],[Price/Sq.ft]]</f>
        <v/>
      </c>
      <c r="N215" s="209" t="e">
        <f>VLOOKUP(Table2[[#This Row],[Unit ]],'[1]Muraba Unit Wise Details '!$C$4:$L$67,10,FALSE)</f>
        <v>#N/A</v>
      </c>
      <c r="O215" s="209" t="e">
        <f>Table2[[#This Row],[Column2]]-Table2[[#This Row],[Price]]</f>
        <v>#N/A</v>
      </c>
      <c r="P215" s="209" t="e">
        <f>Table2[[#This Row],[Price]]/Table2[[#This Row],[Total Area
(Sq.ft)]]</f>
        <v>#DIV/0!</v>
      </c>
      <c r="Q215" s="209" t="e">
        <f>Table2[[#This Row],[Price]]/Table2[[#This Row],[Sellable Area
(Sq. ft)]]</f>
        <v>#VALUE!</v>
      </c>
      <c r="R215" s="209"/>
    </row>
    <row r="216" spans="1:18" x14ac:dyDescent="0.35">
      <c r="A216" s="157" t="str">
        <f>IF(Table2[[#This Row],[Unit ]]="","","4 Bedroom Pool")</f>
        <v/>
      </c>
      <c r="B216" s="158" t="s">
        <v>21</v>
      </c>
      <c r="C216" s="159" t="str">
        <f>'Launches   XL   SX   DX'!D37</f>
        <v/>
      </c>
      <c r="D216" s="160" t="str">
        <f>LEFT(Table2[[#This Row],[Unit ]],2)</f>
        <v/>
      </c>
      <c r="E216" s="161" t="str">
        <f>IF(Table2[[#This Row],[Unit ]]="","",_xlfn.XLOOKUP(Table2[[#This Row],[Type]],'Muraba Veil Sale Summary'!A:A,'Muraba Veil Sale Summary'!P:P))</f>
        <v/>
      </c>
      <c r="F216" s="162" t="str">
        <f>IF(Table2[[#This Row],[Unit ]]="","",_xlfn.XLOOKUP(Table2[[#This Row],[Type]],'Muraba Veil Sale Summary'!$A:$A,'Muraba Veil Sale Summary'!F:F))</f>
        <v/>
      </c>
      <c r="G216" s="162" t="str">
        <f>IF(Table2[[#This Row],[Unit ]]="","",_xlfn.XLOOKUP(Table2[[#This Row],[Type]],'Muraba Veil Sale Summary'!$A:$A,'Muraba Veil Sale Summary'!G:G))</f>
        <v/>
      </c>
      <c r="H216" s="162">
        <f t="shared" si="24"/>
        <v>0</v>
      </c>
      <c r="I216" s="163">
        <f>'Launches   XL   SX   DX'!$Q$9</f>
        <v>0.55000000000000004</v>
      </c>
      <c r="J216" s="162" t="str">
        <f>IF(Table2[[#This Row],[Unit ]]="","",F216+(G216*Table2[[#This Row],[Terrace Area]]))</f>
        <v/>
      </c>
      <c r="K216" s="8" t="str">
        <f>IF(Table2[[#This Row],[Unit ]]="","",'Launches   XL   SX   DX'!G37)</f>
        <v/>
      </c>
      <c r="L216" s="8">
        <f t="shared" si="23"/>
        <v>0</v>
      </c>
      <c r="M216" s="3" t="str">
        <f>Table2[[#This Row],[Price/Sq.ft]]</f>
        <v/>
      </c>
      <c r="N216" s="209" t="e">
        <f>VLOOKUP(Table2[[#This Row],[Unit ]],'[1]Muraba Unit Wise Details '!$C$4:$L$67,10,FALSE)</f>
        <v>#N/A</v>
      </c>
      <c r="O216" s="209" t="e">
        <f>Table2[[#This Row],[Column2]]-Table2[[#This Row],[Price]]</f>
        <v>#N/A</v>
      </c>
      <c r="P216" s="209" t="e">
        <f>Table2[[#This Row],[Price]]/Table2[[#This Row],[Total Area
(Sq.ft)]]</f>
        <v>#DIV/0!</v>
      </c>
      <c r="Q216" s="209" t="e">
        <f>Table2[[#This Row],[Price]]/Table2[[#This Row],[Sellable Area
(Sq. ft)]]</f>
        <v>#VALUE!</v>
      </c>
      <c r="R216" s="209"/>
    </row>
    <row r="217" spans="1:18" x14ac:dyDescent="0.35">
      <c r="A217" s="157" t="str">
        <f>IF(Table2[[#This Row],[Unit ]]="","","4 Bedroom Pool")</f>
        <v/>
      </c>
      <c r="B217" s="158" t="s">
        <v>21</v>
      </c>
      <c r="C217" s="159" t="str">
        <f>'Launches   XL   SX   DX'!D38</f>
        <v/>
      </c>
      <c r="D217" s="160" t="str">
        <f>LEFT(Table2[[#This Row],[Unit ]],2)</f>
        <v/>
      </c>
      <c r="E217" s="161" t="str">
        <f>IF(Table2[[#This Row],[Unit ]]="","",_xlfn.XLOOKUP(Table2[[#This Row],[Type]],'Muraba Veil Sale Summary'!A:A,'Muraba Veil Sale Summary'!P:P))</f>
        <v/>
      </c>
      <c r="F217" s="162" t="str">
        <f>IF(Table2[[#This Row],[Unit ]]="","",_xlfn.XLOOKUP(Table2[[#This Row],[Type]],'Muraba Veil Sale Summary'!$A:$A,'Muraba Veil Sale Summary'!F:F))</f>
        <v/>
      </c>
      <c r="G217" s="162" t="str">
        <f>IF(Table2[[#This Row],[Unit ]]="","",_xlfn.XLOOKUP(Table2[[#This Row],[Type]],'Muraba Veil Sale Summary'!$A:$A,'Muraba Veil Sale Summary'!G:G))</f>
        <v/>
      </c>
      <c r="H217" s="162">
        <f t="shared" ref="H217:H222" si="25">IFERROR(F217+G217,0)</f>
        <v>0</v>
      </c>
      <c r="I217" s="163">
        <f>'Launches   XL   SX   DX'!$Q$9</f>
        <v>0.55000000000000004</v>
      </c>
      <c r="J217" s="162" t="str">
        <f>IF(Table2[[#This Row],[Unit ]]="","",F217+(G217*Table2[[#This Row],[Terrace Area]]))</f>
        <v/>
      </c>
      <c r="K217" s="8" t="str">
        <f>IF(Table2[[#This Row],[Unit ]]="","",'Launches   XL   SX   DX'!G38)</f>
        <v/>
      </c>
      <c r="L217" s="8">
        <f t="shared" si="23"/>
        <v>0</v>
      </c>
      <c r="M217" s="3" t="str">
        <f>Table2[[#This Row],[Price/Sq.ft]]</f>
        <v/>
      </c>
      <c r="N217" s="209" t="e">
        <f>VLOOKUP(Table2[[#This Row],[Unit ]],'[1]Muraba Unit Wise Details '!$C$4:$L$67,10,FALSE)</f>
        <v>#N/A</v>
      </c>
      <c r="O217" s="209" t="e">
        <f>Table2[[#This Row],[Column2]]-Table2[[#This Row],[Price]]</f>
        <v>#N/A</v>
      </c>
      <c r="P217" s="209" t="e">
        <f>Table2[[#This Row],[Price]]/Table2[[#This Row],[Total Area
(Sq.ft)]]</f>
        <v>#DIV/0!</v>
      </c>
      <c r="Q217" s="209" t="e">
        <f>Table2[[#This Row],[Price]]/Table2[[#This Row],[Sellable Area
(Sq. ft)]]</f>
        <v>#VALUE!</v>
      </c>
      <c r="R217" s="209"/>
    </row>
    <row r="218" spans="1:18" x14ac:dyDescent="0.35">
      <c r="A218" s="157" t="str">
        <f>IF(Table2[[#This Row],[Unit ]]="","","4 Bedroom Pool")</f>
        <v/>
      </c>
      <c r="B218" s="158" t="s">
        <v>21</v>
      </c>
      <c r="C218" s="159" t="str">
        <f>'Launches   XL   SX   DX'!D39</f>
        <v/>
      </c>
      <c r="D218" s="160" t="str">
        <f>LEFT(Table2[[#This Row],[Unit ]],2)</f>
        <v/>
      </c>
      <c r="E218" s="161" t="str">
        <f>IF(Table2[[#This Row],[Unit ]]="","",_xlfn.XLOOKUP(Table2[[#This Row],[Type]],'Muraba Veil Sale Summary'!A:A,'Muraba Veil Sale Summary'!P:P))</f>
        <v/>
      </c>
      <c r="F218" s="162" t="str">
        <f>IF(Table2[[#This Row],[Unit ]]="","",_xlfn.XLOOKUP(Table2[[#This Row],[Type]],'Muraba Veil Sale Summary'!$A:$A,'Muraba Veil Sale Summary'!F:F))</f>
        <v/>
      </c>
      <c r="G218" s="162" t="str">
        <f>IF(Table2[[#This Row],[Unit ]]="","",_xlfn.XLOOKUP(Table2[[#This Row],[Type]],'Muraba Veil Sale Summary'!$A:$A,'Muraba Veil Sale Summary'!G:G))</f>
        <v/>
      </c>
      <c r="H218" s="162">
        <f t="shared" si="25"/>
        <v>0</v>
      </c>
      <c r="I218" s="163">
        <f>'Launches   XL   SX   DX'!$Q$9</f>
        <v>0.55000000000000004</v>
      </c>
      <c r="J218" s="162" t="str">
        <f>IF(Table2[[#This Row],[Unit ]]="","",F218+(G218*Table2[[#This Row],[Terrace Area]]))</f>
        <v/>
      </c>
      <c r="K218" s="8" t="str">
        <f>IF(Table2[[#This Row],[Unit ]]="","",'Launches   XL   SX   DX'!G39)</f>
        <v/>
      </c>
      <c r="L218" s="8">
        <f t="shared" si="23"/>
        <v>0</v>
      </c>
      <c r="M218" s="3" t="str">
        <f>Table2[[#This Row],[Price/Sq.ft]]</f>
        <v/>
      </c>
      <c r="N218" s="209" t="e">
        <f>VLOOKUP(Table2[[#This Row],[Unit ]],'[1]Muraba Unit Wise Details '!$C$4:$L$67,10,FALSE)</f>
        <v>#N/A</v>
      </c>
      <c r="O218" s="209" t="e">
        <f>Table2[[#This Row],[Column2]]-Table2[[#This Row],[Price]]</f>
        <v>#N/A</v>
      </c>
      <c r="P218" s="209" t="e">
        <f>Table2[[#This Row],[Price]]/Table2[[#This Row],[Total Area
(Sq.ft)]]</f>
        <v>#DIV/0!</v>
      </c>
      <c r="Q218" s="209" t="e">
        <f>Table2[[#This Row],[Price]]/Table2[[#This Row],[Sellable Area
(Sq. ft)]]</f>
        <v>#VALUE!</v>
      </c>
      <c r="R218" s="209"/>
    </row>
    <row r="219" spans="1:18" x14ac:dyDescent="0.35">
      <c r="A219" s="157" t="str">
        <f>IF(Table2[[#This Row],[Unit ]]="","","4 Bedroom Pool")</f>
        <v/>
      </c>
      <c r="B219" s="158" t="s">
        <v>21</v>
      </c>
      <c r="C219" s="159" t="str">
        <f>'Launches   XL   SX   DX'!D40</f>
        <v/>
      </c>
      <c r="D219" s="160" t="str">
        <f>LEFT(Table2[[#This Row],[Unit ]],2)</f>
        <v/>
      </c>
      <c r="E219" s="161" t="str">
        <f>IF(Table2[[#This Row],[Unit ]]="","",_xlfn.XLOOKUP(Table2[[#This Row],[Type]],'Muraba Veil Sale Summary'!A:A,'Muraba Veil Sale Summary'!P:P))</f>
        <v/>
      </c>
      <c r="F219" s="162" t="str">
        <f>IF(Table2[[#This Row],[Unit ]]="","",_xlfn.XLOOKUP(Table2[[#This Row],[Type]],'Muraba Veil Sale Summary'!$A:$A,'Muraba Veil Sale Summary'!F:F))</f>
        <v/>
      </c>
      <c r="G219" s="162" t="str">
        <f>IF(Table2[[#This Row],[Unit ]]="","",_xlfn.XLOOKUP(Table2[[#This Row],[Type]],'Muraba Veil Sale Summary'!$A:$A,'Muraba Veil Sale Summary'!G:G))</f>
        <v/>
      </c>
      <c r="H219" s="162">
        <f t="shared" si="25"/>
        <v>0</v>
      </c>
      <c r="I219" s="163">
        <f>'Launches   XL   SX   DX'!$Q$9</f>
        <v>0.55000000000000004</v>
      </c>
      <c r="J219" s="162" t="str">
        <f>IF(Table2[[#This Row],[Unit ]]="","",F219+(G219*Table2[[#This Row],[Terrace Area]]))</f>
        <v/>
      </c>
      <c r="K219" s="8" t="str">
        <f>IF(Table2[[#This Row],[Unit ]]="","",'Launches   XL   SX   DX'!G40)</f>
        <v/>
      </c>
      <c r="L219" s="8">
        <f t="shared" si="23"/>
        <v>0</v>
      </c>
      <c r="M219" s="3" t="str">
        <f>Table2[[#This Row],[Price/Sq.ft]]</f>
        <v/>
      </c>
      <c r="N219" s="209" t="e">
        <f>VLOOKUP(Table2[[#This Row],[Unit ]],'[1]Muraba Unit Wise Details '!$C$4:$L$67,10,FALSE)</f>
        <v>#N/A</v>
      </c>
      <c r="O219" s="209" t="e">
        <f>Table2[[#This Row],[Column2]]-Table2[[#This Row],[Price]]</f>
        <v>#N/A</v>
      </c>
      <c r="P219" s="209" t="e">
        <f>Table2[[#This Row],[Price]]/Table2[[#This Row],[Total Area
(Sq.ft)]]</f>
        <v>#DIV/0!</v>
      </c>
      <c r="Q219" s="209" t="e">
        <f>Table2[[#This Row],[Price]]/Table2[[#This Row],[Sellable Area
(Sq. ft)]]</f>
        <v>#VALUE!</v>
      </c>
      <c r="R219" s="209"/>
    </row>
    <row r="220" spans="1:18" x14ac:dyDescent="0.35">
      <c r="A220" s="157" t="str">
        <f>IF(Table2[[#This Row],[Unit ]]="","","4 Bedroom Pool")</f>
        <v/>
      </c>
      <c r="B220" s="158" t="s">
        <v>21</v>
      </c>
      <c r="C220" s="159" t="str">
        <f>'Launches   XL   SX   DX'!D41</f>
        <v/>
      </c>
      <c r="D220" s="160" t="str">
        <f>LEFT(Table2[[#This Row],[Unit ]],2)</f>
        <v/>
      </c>
      <c r="E220" s="161" t="str">
        <f>IF(Table2[[#This Row],[Unit ]]="","",_xlfn.XLOOKUP(Table2[[#This Row],[Type]],'Muraba Veil Sale Summary'!A:A,'Muraba Veil Sale Summary'!P:P))</f>
        <v/>
      </c>
      <c r="F220" s="162" t="str">
        <f>IF(Table2[[#This Row],[Unit ]]="","",_xlfn.XLOOKUP(Table2[[#This Row],[Type]],'Muraba Veil Sale Summary'!$A:$A,'Muraba Veil Sale Summary'!F:F))</f>
        <v/>
      </c>
      <c r="G220" s="162" t="str">
        <f>IF(Table2[[#This Row],[Unit ]]="","",_xlfn.XLOOKUP(Table2[[#This Row],[Type]],'Muraba Veil Sale Summary'!$A:$A,'Muraba Veil Sale Summary'!G:G))</f>
        <v/>
      </c>
      <c r="H220" s="162">
        <f t="shared" si="25"/>
        <v>0</v>
      </c>
      <c r="I220" s="163">
        <f>'Launches   XL   SX   DX'!$Q$9</f>
        <v>0.55000000000000004</v>
      </c>
      <c r="J220" s="162" t="str">
        <f>IF(Table2[[#This Row],[Unit ]]="","",F220+(G220*Table2[[#This Row],[Terrace Area]]))</f>
        <v/>
      </c>
      <c r="K220" s="8" t="str">
        <f>IF(Table2[[#This Row],[Unit ]]="","",'Launches   XL   SX   DX'!G41)</f>
        <v/>
      </c>
      <c r="L220" s="8">
        <f t="shared" si="23"/>
        <v>0</v>
      </c>
      <c r="M220" s="3" t="str">
        <f>Table2[[#This Row],[Price/Sq.ft]]</f>
        <v/>
      </c>
      <c r="N220" s="209" t="e">
        <f>VLOOKUP(Table2[[#This Row],[Unit ]],'[1]Muraba Unit Wise Details '!$C$4:$L$67,10,FALSE)</f>
        <v>#N/A</v>
      </c>
      <c r="O220" s="209" t="e">
        <f>Table2[[#This Row],[Column2]]-Table2[[#This Row],[Price]]</f>
        <v>#N/A</v>
      </c>
      <c r="P220" s="209" t="e">
        <f>Table2[[#This Row],[Price]]/Table2[[#This Row],[Total Area
(Sq.ft)]]</f>
        <v>#DIV/0!</v>
      </c>
      <c r="Q220" s="209" t="e">
        <f>Table2[[#This Row],[Price]]/Table2[[#This Row],[Sellable Area
(Sq. ft)]]</f>
        <v>#VALUE!</v>
      </c>
      <c r="R220" s="209"/>
    </row>
    <row r="221" spans="1:18" x14ac:dyDescent="0.35">
      <c r="A221" s="157" t="str">
        <f>IF(Table2[[#This Row],[Unit ]]="","","4 Bedroom Pool")</f>
        <v/>
      </c>
      <c r="B221" s="158" t="s">
        <v>21</v>
      </c>
      <c r="C221" s="159" t="str">
        <f>'Launches   XL   SX   DX'!D42</f>
        <v/>
      </c>
      <c r="D221" s="160" t="str">
        <f>LEFT(Table2[[#This Row],[Unit ]],2)</f>
        <v/>
      </c>
      <c r="E221" s="161" t="str">
        <f>IF(Table2[[#This Row],[Unit ]]="","",_xlfn.XLOOKUP(Table2[[#This Row],[Type]],'Muraba Veil Sale Summary'!A:A,'Muraba Veil Sale Summary'!P:P))</f>
        <v/>
      </c>
      <c r="F221" s="162" t="str">
        <f>IF(Table2[[#This Row],[Unit ]]="","",_xlfn.XLOOKUP(Table2[[#This Row],[Type]],'Muraba Veil Sale Summary'!$A:$A,'Muraba Veil Sale Summary'!F:F))</f>
        <v/>
      </c>
      <c r="G221" s="162" t="str">
        <f>IF(Table2[[#This Row],[Unit ]]="","",_xlfn.XLOOKUP(Table2[[#This Row],[Type]],'Muraba Veil Sale Summary'!$A:$A,'Muraba Veil Sale Summary'!G:G))</f>
        <v/>
      </c>
      <c r="H221" s="162">
        <f t="shared" si="25"/>
        <v>0</v>
      </c>
      <c r="I221" s="163">
        <f>'Launches   XL   SX   DX'!$Q$9</f>
        <v>0.55000000000000004</v>
      </c>
      <c r="J221" s="162" t="str">
        <f>IF(Table2[[#This Row],[Unit ]]="","",F221+(G221*Table2[[#This Row],[Terrace Area]]))</f>
        <v/>
      </c>
      <c r="K221" s="8" t="str">
        <f>IF(Table2[[#This Row],[Unit ]]="","",'Launches   XL   SX   DX'!G42)</f>
        <v/>
      </c>
      <c r="L221" s="8">
        <f t="shared" si="23"/>
        <v>0</v>
      </c>
      <c r="M221" s="3" t="str">
        <f>Table2[[#This Row],[Price/Sq.ft]]</f>
        <v/>
      </c>
      <c r="N221" s="209" t="e">
        <f>VLOOKUP(Table2[[#This Row],[Unit ]],'[1]Muraba Unit Wise Details '!$C$4:$L$67,10,FALSE)</f>
        <v>#N/A</v>
      </c>
      <c r="O221" s="209" t="e">
        <f>Table2[[#This Row],[Column2]]-Table2[[#This Row],[Price]]</f>
        <v>#N/A</v>
      </c>
      <c r="P221" s="209" t="e">
        <f>Table2[[#This Row],[Price]]/Table2[[#This Row],[Total Area
(Sq.ft)]]</f>
        <v>#DIV/0!</v>
      </c>
      <c r="Q221" s="209" t="e">
        <f>Table2[[#This Row],[Price]]/Table2[[#This Row],[Sellable Area
(Sq. ft)]]</f>
        <v>#VALUE!</v>
      </c>
      <c r="R221" s="209"/>
    </row>
    <row r="222" spans="1:18" x14ac:dyDescent="0.35">
      <c r="A222" s="157" t="str">
        <f>IF(Table2[[#This Row],[Unit ]]="","","4 Bedroom Pool")</f>
        <v/>
      </c>
      <c r="B222" s="158" t="s">
        <v>21</v>
      </c>
      <c r="C222" s="159" t="str">
        <f>'Launches   XL   SX   DX'!D43</f>
        <v/>
      </c>
      <c r="D222" s="160" t="str">
        <f>LEFT(Table2[[#This Row],[Unit ]],2)</f>
        <v/>
      </c>
      <c r="E222" s="161" t="str">
        <f>IF(Table2[[#This Row],[Unit ]]="","",_xlfn.XLOOKUP(Table2[[#This Row],[Type]],'Muraba Veil Sale Summary'!A:A,'Muraba Veil Sale Summary'!P:P))</f>
        <v/>
      </c>
      <c r="F222" s="162" t="str">
        <f>IF(Table2[[#This Row],[Unit ]]="","",_xlfn.XLOOKUP(Table2[[#This Row],[Type]],'Muraba Veil Sale Summary'!$A:$A,'Muraba Veil Sale Summary'!F:F))</f>
        <v/>
      </c>
      <c r="G222" s="162" t="str">
        <f>IF(Table2[[#This Row],[Unit ]]="","",_xlfn.XLOOKUP(Table2[[#This Row],[Type]],'Muraba Veil Sale Summary'!$A:$A,'Muraba Veil Sale Summary'!G:G))</f>
        <v/>
      </c>
      <c r="H222" s="162">
        <f t="shared" si="25"/>
        <v>0</v>
      </c>
      <c r="I222" s="163">
        <f>'Launches   XL   SX   DX'!$Q$9</f>
        <v>0.55000000000000004</v>
      </c>
      <c r="J222" s="162" t="str">
        <f>IF(Table2[[#This Row],[Unit ]]="","",F222+(G222*Table2[[#This Row],[Terrace Area]]))</f>
        <v/>
      </c>
      <c r="K222" s="8" t="str">
        <f>IF(Table2[[#This Row],[Unit ]]="","",'Launches   XL   SX   DX'!G43)</f>
        <v/>
      </c>
      <c r="L222" s="8">
        <f t="shared" si="23"/>
        <v>0</v>
      </c>
      <c r="M222" s="3" t="str">
        <f>Table2[[#This Row],[Price/Sq.ft]]</f>
        <v/>
      </c>
      <c r="N222" s="209" t="e">
        <f>VLOOKUP(Table2[[#This Row],[Unit ]],'[1]Muraba Unit Wise Details '!$C$4:$L$67,10,FALSE)</f>
        <v>#N/A</v>
      </c>
      <c r="O222" s="209" t="e">
        <f>Table2[[#This Row],[Column2]]-Table2[[#This Row],[Price]]</f>
        <v>#N/A</v>
      </c>
      <c r="P222" s="209" t="e">
        <f>Table2[[#This Row],[Price]]/Table2[[#This Row],[Total Area
(Sq.ft)]]</f>
        <v>#DIV/0!</v>
      </c>
      <c r="Q222" s="209" t="e">
        <f>Table2[[#This Row],[Price]]/Table2[[#This Row],[Sellable Area
(Sq. ft)]]</f>
        <v>#VALUE!</v>
      </c>
      <c r="R222" s="209"/>
    </row>
    <row r="223" spans="1:18" x14ac:dyDescent="0.35">
      <c r="A223" s="158" t="s">
        <v>30</v>
      </c>
      <c r="B223" s="158" t="s">
        <v>21</v>
      </c>
      <c r="C223" s="159">
        <v>6001</v>
      </c>
      <c r="D223" s="160" t="s">
        <v>57</v>
      </c>
      <c r="E223" s="161">
        <f>IF(Table2[[#This Row],[Unit ]]="","",_xlfn.XLOOKUP(Table2[[#This Row],[Type]],'Muraba Veil Sale Summary'!A:A,'Muraba Veil Sale Summary'!P:P))</f>
        <v>4</v>
      </c>
      <c r="F223" s="162">
        <f>IF(Table2[[#This Row],[Unit ]]="","",_xlfn.XLOOKUP(Table2[[#This Row],[Type]],'Muraba Veil Sale Summary'!$A:$A,'Muraba Veil Sale Summary'!F:F))</f>
        <v>7474.8899381760011</v>
      </c>
      <c r="G223" s="162">
        <f>IF(Table2[[#This Row],[Unit ]]="","",_xlfn.XLOOKUP(Table2[[#This Row],[Type]],'Muraba Veil Sale Summary'!$A:$A,'Muraba Veil Sale Summary'!G:G))</f>
        <v>7857.6545919999999</v>
      </c>
      <c r="H223" s="162">
        <f t="shared" si="24"/>
        <v>15332.544530176001</v>
      </c>
      <c r="I223" s="163">
        <f>'[1]Launches   XL   SX   DX'!$O$11</f>
        <v>0.65</v>
      </c>
      <c r="J223" s="162">
        <f>IF(Table2[[#This Row],[Unit ]]="","",F223+(G223*Table2[[#This Row],[Terrace Area]]))</f>
        <v>12582.365422976001</v>
      </c>
      <c r="K223" s="8">
        <f>'Launches   XL   SX   DX'!F44</f>
        <v>13159.133541985328</v>
      </c>
      <c r="L223" s="8">
        <f t="shared" si="23"/>
        <v>165573026.87499991</v>
      </c>
      <c r="M223" s="3">
        <f>Table2[[#This Row],[Price/Sq.ft]]</f>
        <v>13159.133541985328</v>
      </c>
      <c r="N223" s="209" t="e">
        <f>VLOOKUP(Table2[[#This Row],[Unit ]],'[1]Muraba Unit Wise Details '!$C$4:$L$67,10,FALSE)</f>
        <v>#N/A</v>
      </c>
      <c r="O223" s="209" t="e">
        <f>Table2[[#This Row],[Column2]]-Table2[[#This Row],[Price]]</f>
        <v>#N/A</v>
      </c>
      <c r="P223" s="209">
        <f>Table2[[#This Row],[Price]]/Table2[[#This Row],[Total Area
(Sq.ft)]]</f>
        <v>10798.796413024298</v>
      </c>
      <c r="Q223" s="209">
        <f>Table2[[#This Row],[Price]]/Table2[[#This Row],[Sellable Area
(Sq. ft)]]</f>
        <v>13159.133541985328</v>
      </c>
      <c r="R223" s="209"/>
    </row>
    <row r="224" spans="1:18" ht="16.5" x14ac:dyDescent="0.35">
      <c r="A224" s="157" t="s">
        <v>31</v>
      </c>
      <c r="B224" s="158" t="s">
        <v>36</v>
      </c>
      <c r="C224" s="159">
        <v>6301</v>
      </c>
      <c r="D224" s="160" t="s">
        <v>58</v>
      </c>
      <c r="E224" s="161">
        <f>IF(Table2[[#This Row],[Unit ]]="","",_xlfn.XLOOKUP(Table2[[#This Row],[Type]],'Muraba Veil Sale Summary'!A:A,'Muraba Veil Sale Summary'!P:P))</f>
        <v>3</v>
      </c>
      <c r="F224" s="162">
        <f>IF(Table2[[#This Row],[Unit ]]="","",_xlfn.XLOOKUP(Table2[[#This Row],[Type]],'Muraba Veil Sale Summary'!$A:$A,'Muraba Veil Sale Summary'!F:F))</f>
        <v>4733.5372375039997</v>
      </c>
      <c r="G224" s="162">
        <f>IF(Table2[[#This Row],[Unit ]]="","",_xlfn.XLOOKUP(Table2[[#This Row],[Type]],'Muraba Veil Sale Summary'!$A:$A,'Muraba Veil Sale Summary'!G:G))</f>
        <v>3334.2288855040001</v>
      </c>
      <c r="H224" s="162">
        <f t="shared" si="24"/>
        <v>8067.7661230079993</v>
      </c>
      <c r="I224" s="163">
        <f>'[1]Launches   XL   SX   DX'!$O$10</f>
        <v>0.75</v>
      </c>
      <c r="J224" s="162">
        <f>IF(Table2[[#This Row],[Unit ]]="","",F224+(G224*Table2[[#This Row],[Terrace Area]]))</f>
        <v>7234.2089016319997</v>
      </c>
      <c r="K224" s="8">
        <f>'Launches   XL   SX   DX'!F46</f>
        <v>10998.525074669933</v>
      </c>
      <c r="L224" s="8">
        <f t="shared" si="23"/>
        <v>79565627.999999985</v>
      </c>
      <c r="M224" s="3">
        <f>Table2[[#This Row],[Price/Sq.ft]]</f>
        <v>10998.525074669933</v>
      </c>
      <c r="N224" s="209" t="e">
        <f>VLOOKUP(Table2[[#This Row],[Unit ]],'[1]Muraba Unit Wise Details '!$C$4:$L$67,10,FALSE)</f>
        <v>#N/A</v>
      </c>
      <c r="O224" s="209" t="e">
        <f>Table2[[#This Row],[Column2]]-Table2[[#This Row],[Price]]</f>
        <v>#N/A</v>
      </c>
      <c r="P224" s="209">
        <f>Table2[[#This Row],[Price]]/Table2[[#This Row],[Total Area
(Sq.ft)]]</f>
        <v>9862.1634275058295</v>
      </c>
      <c r="Q224" s="209">
        <f>Table2[[#This Row],[Price]]/Table2[[#This Row],[Sellable Area
(Sq. ft)]]</f>
        <v>10998.525074669933</v>
      </c>
      <c r="R224" s="209"/>
    </row>
    <row r="225" spans="1:18" ht="16.5" x14ac:dyDescent="0.35">
      <c r="A225" s="157" t="s">
        <v>33</v>
      </c>
      <c r="B225" s="158" t="s">
        <v>36</v>
      </c>
      <c r="C225" s="159">
        <v>6302</v>
      </c>
      <c r="D225" s="160" t="s">
        <v>58</v>
      </c>
      <c r="E225" s="161">
        <f>IF(Table2[[#This Row],[Unit ]]="","",_xlfn.XLOOKUP(Table2[[#This Row],[Type]],'Muraba Veil Sale Summary'!A:A,'Muraba Veil Sale Summary'!P:P))</f>
        <v>4</v>
      </c>
      <c r="F225" s="162">
        <f>IF(Table2[[#This Row],[Unit ]]="","",_xlfn.XLOOKUP(Table2[[#This Row],[Type]],'Muraba Veil Sale Summary'!$A:$A,'Muraba Veil Sale Summary'!F:F))</f>
        <v>7485.6538485760011</v>
      </c>
      <c r="G225" s="162">
        <f>IF(Table2[[#This Row],[Unit ]]="","",_xlfn.XLOOKUP(Table2[[#This Row],[Type]],'Muraba Veil Sale Summary'!$A:$A,'Muraba Veil Sale Summary'!G:G))</f>
        <v>7260.042286592</v>
      </c>
      <c r="H225" s="162">
        <f t="shared" si="24"/>
        <v>14745.696135168</v>
      </c>
      <c r="I225" s="163">
        <f>'[1]Launches   XL   SX   DX'!$O$10</f>
        <v>0.75</v>
      </c>
      <c r="J225" s="162">
        <f>IF(Table2[[#This Row],[Unit ]]="","",F225+(G225*Table2[[#This Row],[Terrace Area]]))</f>
        <v>12930.685563520001</v>
      </c>
      <c r="K225" s="8">
        <f>'Launches   XL   SX   DX'!G46</f>
        <v>11416.448972623079</v>
      </c>
      <c r="L225" s="8">
        <f t="shared" si="23"/>
        <v>147622511.91696</v>
      </c>
      <c r="M225" s="3">
        <f>Table2[[#This Row],[Price/Sq.ft]]</f>
        <v>11416.448972623079</v>
      </c>
      <c r="N225" s="209" t="e">
        <f>VLOOKUP(Table2[[#This Row],[Unit ]],'[1]Muraba Unit Wise Details '!$C$4:$L$67,10,FALSE)</f>
        <v>#N/A</v>
      </c>
      <c r="O225" s="209" t="e">
        <f>Table2[[#This Row],[Column2]]-Table2[[#This Row],[Price]]</f>
        <v>#N/A</v>
      </c>
      <c r="P225" s="209">
        <f>Table2[[#This Row],[Price]]/Table2[[#This Row],[Total Area
(Sq.ft)]]</f>
        <v>10011.227043047847</v>
      </c>
      <c r="Q225" s="209">
        <f>Table2[[#This Row],[Price]]/Table2[[#This Row],[Sellable Area
(Sq. ft)]]</f>
        <v>11416.44897262308</v>
      </c>
      <c r="R225" s="209"/>
    </row>
    <row r="226" spans="1:18" ht="16.5" x14ac:dyDescent="0.35">
      <c r="A226" s="164" t="s">
        <v>34</v>
      </c>
      <c r="B226" s="158" t="s">
        <v>21</v>
      </c>
      <c r="C226" s="159">
        <v>6901</v>
      </c>
      <c r="D226" s="161" t="s">
        <v>59</v>
      </c>
      <c r="E226" s="161">
        <f>IF(Table2[[#This Row],[Unit ]]="","",_xlfn.XLOOKUP(Table2[[#This Row],[Type]],'Muraba Veil Sale Summary'!A:A,'Muraba Veil Sale Summary'!P:P))</f>
        <v>6</v>
      </c>
      <c r="F226" s="162">
        <f>IF(Table2[[#This Row],[Unit ]]="","",_xlfn.XLOOKUP(Table2[[#This Row],[Type]],'Muraba Veil Sale Summary'!$A:$A,'Muraba Veil Sale Summary'!F:F))</f>
        <v>11648.17</v>
      </c>
      <c r="G226" s="162">
        <f>IF(Table2[[#This Row],[Unit ]]="","",_xlfn.XLOOKUP(Table2[[#This Row],[Type]],'Muraba Veil Sale Summary'!$A:$A,'Muraba Veil Sale Summary'!G:G))</f>
        <v>15018.56</v>
      </c>
      <c r="H226" s="162">
        <f t="shared" si="24"/>
        <v>26666.73</v>
      </c>
      <c r="I226" s="13">
        <v>1</v>
      </c>
      <c r="J226" s="162">
        <f>IF(Table2[[#This Row],[Unit ]]="","",F226+(G226*Table2[[#This Row],[Terrace Area]]))</f>
        <v>26666.73</v>
      </c>
      <c r="K226" s="8">
        <f>'Launches   XL   SX   DX'!F51</f>
        <v>16194.636089448089</v>
      </c>
      <c r="L226" s="8">
        <f t="shared" si="23"/>
        <v>431857988.04556805</v>
      </c>
      <c r="M226" s="3">
        <f>Table2[[#This Row],[Price/Sq.ft]]</f>
        <v>16194.636089448089</v>
      </c>
      <c r="N226" s="209" t="e">
        <f>VLOOKUP(Table2[[#This Row],[Unit ]],'[1]Muraba Unit Wise Details '!$C$4:$L$67,10,FALSE)</f>
        <v>#N/A</v>
      </c>
      <c r="O226" s="209" t="e">
        <f>Table2[[#This Row],[Column2]]-Table2[[#This Row],[Price]]</f>
        <v>#N/A</v>
      </c>
      <c r="P226" s="209">
        <f>Table2[[#This Row],[Price]]/Table2[[#This Row],[Total Area
(Sq.ft)]]</f>
        <v>16194.636089448089</v>
      </c>
      <c r="Q226" s="209">
        <f>Table2[[#This Row],[Price]]/Table2[[#This Row],[Sellable Area
(Sq. ft)]]</f>
        <v>16194.636089448089</v>
      </c>
      <c r="R226" s="209"/>
    </row>
    <row r="227" spans="1:18" x14ac:dyDescent="0.35">
      <c r="A227" s="159" t="s">
        <v>16</v>
      </c>
      <c r="B227" s="159"/>
      <c r="C227" s="159"/>
      <c r="D227" s="159"/>
      <c r="E227" s="159"/>
      <c r="F227" s="159"/>
      <c r="G227" s="159"/>
      <c r="H227" s="174">
        <f>SUBTOTAL(109,Table2[Total Area
(Sq.ft)])</f>
        <v>824720.26931264054</v>
      </c>
      <c r="I227" s="159"/>
      <c r="J227" s="159"/>
      <c r="K227" s="174"/>
      <c r="L227" s="162">
        <f>SUBTOTAL(109,Table2[Price])</f>
        <v>5116774971.0315199</v>
      </c>
      <c r="M227" s="159"/>
      <c r="N227" s="159"/>
      <c r="O227" s="159"/>
      <c r="P227" s="159"/>
      <c r="Q227" s="159"/>
      <c r="R227" s="159"/>
    </row>
  </sheetData>
  <phoneticPr fontId="27" type="noConversion"/>
  <pageMargins left="0.7" right="0.7" top="0.75" bottom="0.75" header="0.3" footer="0.3"/>
  <pageSetup paperSize="9" orientation="portrait" r:id="rId1"/>
  <ignoredErrors>
    <ignoredError sqref="F175:G176 I175:J176 I199:J200 I193:I198 F223:G223 I223:J223 I217:I222 I4:J81 F4:G81 I118:J154 F118:G157 I155:I159 I182:J192 I181 F179:G200 I179:J180 F177:G178 I177:J178 I201:J202 F201:G202 I203:J216 F203:G216 F224:G224 I224:J224 F225:G225 I225:J225 F226:G226 I226:J226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 3">
              <controlPr defaultSize="0" print="0" uiObject="1" autoLine="0" autoPict="0">
                <anchor moveWithCells="1" sizeWithCells="1">
                  <from>
                    <xdr:col>3</xdr:col>
                    <xdr:colOff>304800</xdr:colOff>
                    <xdr:row>226</xdr:row>
                    <xdr:rowOff>25400</xdr:rowOff>
                  </from>
                  <to>
                    <xdr:col>5</xdr:col>
                    <xdr:colOff>558800</xdr:colOff>
                    <xdr:row>227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Label 2">
              <controlPr defaultSize="0" autoFill="0" autoLine="0" autoPict="0">
                <anchor moveWithCells="1">
                  <from>
                    <xdr:col>14</xdr:col>
                    <xdr:colOff>889000</xdr:colOff>
                    <xdr:row>1</xdr:row>
                    <xdr:rowOff>158750</xdr:rowOff>
                  </from>
                  <to>
                    <xdr:col>15</xdr:col>
                    <xdr:colOff>101600</xdr:colOff>
                    <xdr:row>2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E2CD-FC69-4713-881F-459DA3CD1AF2}">
  <sheetPr>
    <pageSetUpPr fitToPage="1"/>
  </sheetPr>
  <dimension ref="A1:L94"/>
  <sheetViews>
    <sheetView showGridLines="0" view="pageBreakPreview" topLeftCell="G21" zoomScale="98" zoomScaleNormal="92" zoomScaleSheetLayoutView="92" workbookViewId="0">
      <selection activeCell="J29" sqref="J29"/>
    </sheetView>
  </sheetViews>
  <sheetFormatPr defaultColWidth="9.08984375" defaultRowHeight="19" x14ac:dyDescent="0.45"/>
  <cols>
    <col min="1" max="1" width="9.08984375" style="193"/>
    <col min="2" max="2" width="12.36328125" style="193" customWidth="1"/>
    <col min="3" max="3" width="10.1796875" style="193" customWidth="1"/>
    <col min="4" max="4" width="47.08984375" style="193" customWidth="1"/>
    <col min="5" max="6" width="44.81640625" style="193" customWidth="1"/>
    <col min="7" max="8" width="9.08984375" style="193"/>
    <col min="9" max="9" width="8.36328125" style="193" bestFit="1" customWidth="1"/>
    <col min="10" max="10" width="27" style="193" bestFit="1" customWidth="1"/>
    <col min="11" max="11" width="23.1796875" style="193" bestFit="1" customWidth="1"/>
    <col min="12" max="12" width="25.453125" style="193" bestFit="1" customWidth="1"/>
    <col min="13" max="16384" width="9.08984375" style="193"/>
  </cols>
  <sheetData>
    <row r="1" spans="3:12" s="192" customFormat="1" ht="19.5" thickBot="1" x14ac:dyDescent="0.5">
      <c r="C1" s="189"/>
      <c r="D1" s="190"/>
      <c r="E1" s="191"/>
      <c r="F1" s="191"/>
    </row>
    <row r="2" spans="3:12" ht="19.5" thickBot="1" x14ac:dyDescent="0.5">
      <c r="C2" s="189"/>
      <c r="D2" s="282" t="s">
        <v>138</v>
      </c>
      <c r="E2" s="283"/>
      <c r="F2" s="284"/>
      <c r="I2" s="189"/>
      <c r="J2" s="282" t="s">
        <v>138</v>
      </c>
      <c r="K2" s="283"/>
      <c r="L2" s="284"/>
    </row>
    <row r="3" spans="3:12" x14ac:dyDescent="0.45">
      <c r="C3" s="189"/>
      <c r="D3" s="194"/>
      <c r="E3" s="189"/>
      <c r="F3" s="189"/>
      <c r="I3" s="189"/>
      <c r="J3" s="194"/>
      <c r="K3" s="189"/>
      <c r="L3" s="189"/>
    </row>
    <row r="4" spans="3:12" ht="21" x14ac:dyDescent="0.45">
      <c r="C4" s="195" t="s">
        <v>139</v>
      </c>
      <c r="D4" s="285" t="s">
        <v>140</v>
      </c>
      <c r="E4" s="286"/>
      <c r="F4" s="287"/>
      <c r="I4" s="195" t="s">
        <v>139</v>
      </c>
      <c r="J4" s="285" t="s">
        <v>140</v>
      </c>
      <c r="K4" s="286"/>
      <c r="L4" s="287"/>
    </row>
    <row r="5" spans="3:12" x14ac:dyDescent="0.45">
      <c r="C5" s="195">
        <v>73</v>
      </c>
      <c r="D5" s="288" t="s">
        <v>141</v>
      </c>
      <c r="E5" s="289"/>
      <c r="F5" s="290"/>
      <c r="I5" s="195">
        <v>73</v>
      </c>
      <c r="J5" s="288" t="s">
        <v>141</v>
      </c>
      <c r="K5" s="289"/>
      <c r="L5" s="290"/>
    </row>
    <row r="6" spans="3:12" x14ac:dyDescent="0.45">
      <c r="C6" s="195">
        <v>72</v>
      </c>
      <c r="D6" s="288"/>
      <c r="E6" s="289"/>
      <c r="F6" s="290"/>
      <c r="I6" s="195">
        <v>72</v>
      </c>
      <c r="J6" s="288"/>
      <c r="K6" s="289"/>
      <c r="L6" s="290"/>
    </row>
    <row r="7" spans="3:12" x14ac:dyDescent="0.45">
      <c r="C7" s="195">
        <v>71</v>
      </c>
      <c r="D7" s="288"/>
      <c r="E7" s="289"/>
      <c r="F7" s="290"/>
      <c r="I7" s="195">
        <v>71</v>
      </c>
      <c r="J7" s="288"/>
      <c r="K7" s="289"/>
      <c r="L7" s="290"/>
    </row>
    <row r="8" spans="3:12" ht="19.5" thickBot="1" x14ac:dyDescent="0.5">
      <c r="C8" s="195">
        <v>70</v>
      </c>
      <c r="D8" s="291"/>
      <c r="E8" s="292"/>
      <c r="F8" s="293"/>
      <c r="I8" s="195">
        <v>70</v>
      </c>
      <c r="J8" s="291"/>
      <c r="K8" s="292"/>
      <c r="L8" s="293"/>
    </row>
    <row r="9" spans="3:12" ht="18" customHeight="1" x14ac:dyDescent="0.45">
      <c r="C9" s="195">
        <v>69</v>
      </c>
      <c r="D9" s="294" t="s">
        <v>142</v>
      </c>
      <c r="E9" s="295"/>
      <c r="F9" s="296"/>
      <c r="I9" s="195">
        <v>69</v>
      </c>
      <c r="J9" s="294" t="s">
        <v>142</v>
      </c>
      <c r="K9" s="295"/>
      <c r="L9" s="296"/>
    </row>
    <row r="10" spans="3:12" ht="18" customHeight="1" thickBot="1" x14ac:dyDescent="0.5">
      <c r="C10" s="195">
        <v>68</v>
      </c>
      <c r="D10" s="297"/>
      <c r="E10" s="298"/>
      <c r="F10" s="299"/>
      <c r="I10" s="195">
        <v>68</v>
      </c>
      <c r="J10" s="297"/>
      <c r="K10" s="298"/>
      <c r="L10" s="299"/>
    </row>
    <row r="11" spans="3:12" ht="18" customHeight="1" thickBot="1" x14ac:dyDescent="0.5">
      <c r="C11" s="195">
        <v>67</v>
      </c>
      <c r="D11" s="300" t="s">
        <v>143</v>
      </c>
      <c r="E11" s="301"/>
      <c r="F11" s="302"/>
      <c r="I11" s="195">
        <v>67</v>
      </c>
      <c r="J11" s="300" t="s">
        <v>143</v>
      </c>
      <c r="K11" s="301"/>
      <c r="L11" s="302"/>
    </row>
    <row r="12" spans="3:12" ht="18" customHeight="1" x14ac:dyDescent="0.45">
      <c r="C12" s="195">
        <v>66</v>
      </c>
      <c r="D12" s="303" t="s">
        <v>144</v>
      </c>
      <c r="E12" s="305" t="s">
        <v>145</v>
      </c>
      <c r="F12" s="306"/>
      <c r="I12" s="195">
        <v>66</v>
      </c>
      <c r="J12" s="303" t="s">
        <v>144</v>
      </c>
      <c r="K12" s="305" t="s">
        <v>145</v>
      </c>
      <c r="L12" s="306"/>
    </row>
    <row r="13" spans="3:12" ht="18" customHeight="1" thickBot="1" x14ac:dyDescent="0.5">
      <c r="C13" s="195">
        <v>65</v>
      </c>
      <c r="D13" s="304"/>
      <c r="E13" s="307"/>
      <c r="F13" s="308"/>
      <c r="I13" s="195">
        <v>65</v>
      </c>
      <c r="J13" s="304"/>
      <c r="K13" s="307"/>
      <c r="L13" s="308"/>
    </row>
    <row r="14" spans="3:12" ht="18" customHeight="1" x14ac:dyDescent="0.45">
      <c r="C14" s="195">
        <v>64</v>
      </c>
      <c r="D14" s="303" t="s">
        <v>146</v>
      </c>
      <c r="E14" s="305" t="s">
        <v>147</v>
      </c>
      <c r="F14" s="306"/>
      <c r="I14" s="195">
        <v>64</v>
      </c>
      <c r="J14" s="303" t="s">
        <v>146</v>
      </c>
      <c r="K14" s="305" t="s">
        <v>147</v>
      </c>
      <c r="L14" s="306"/>
    </row>
    <row r="15" spans="3:12" ht="18" customHeight="1" thickBot="1" x14ac:dyDescent="0.5">
      <c r="C15" s="195">
        <v>63</v>
      </c>
      <c r="D15" s="304"/>
      <c r="E15" s="307"/>
      <c r="F15" s="308"/>
      <c r="I15" s="195">
        <v>63</v>
      </c>
      <c r="J15" s="304"/>
      <c r="K15" s="307"/>
      <c r="L15" s="308"/>
    </row>
    <row r="16" spans="3:12" ht="18" customHeight="1" x14ac:dyDescent="0.45">
      <c r="C16" s="195">
        <v>62</v>
      </c>
      <c r="D16" s="303" t="s">
        <v>148</v>
      </c>
      <c r="E16" s="305" t="s">
        <v>149</v>
      </c>
      <c r="F16" s="306"/>
      <c r="I16" s="195">
        <v>62</v>
      </c>
      <c r="J16" s="303" t="s">
        <v>148</v>
      </c>
      <c r="K16" s="305" t="s">
        <v>149</v>
      </c>
      <c r="L16" s="306"/>
    </row>
    <row r="17" spans="3:12" ht="18" customHeight="1" thickBot="1" x14ac:dyDescent="0.5">
      <c r="C17" s="195">
        <v>61</v>
      </c>
      <c r="D17" s="304"/>
      <c r="E17" s="307"/>
      <c r="F17" s="308"/>
      <c r="I17" s="195">
        <v>61</v>
      </c>
      <c r="J17" s="304"/>
      <c r="K17" s="307"/>
      <c r="L17" s="308"/>
    </row>
    <row r="18" spans="3:12" ht="18" customHeight="1" x14ac:dyDescent="0.45">
      <c r="C18" s="195">
        <v>60</v>
      </c>
      <c r="D18" s="303" t="s">
        <v>150</v>
      </c>
      <c r="E18" s="305" t="s">
        <v>151</v>
      </c>
      <c r="F18" s="306"/>
      <c r="I18" s="195">
        <v>60</v>
      </c>
      <c r="J18" s="303" t="s">
        <v>150</v>
      </c>
      <c r="K18" s="305" t="s">
        <v>151</v>
      </c>
      <c r="L18" s="306"/>
    </row>
    <row r="19" spans="3:12" ht="18" customHeight="1" thickBot="1" x14ac:dyDescent="0.5">
      <c r="C19" s="195">
        <v>59</v>
      </c>
      <c r="D19" s="304"/>
      <c r="E19" s="307"/>
      <c r="F19" s="308"/>
      <c r="I19" s="195">
        <v>59</v>
      </c>
      <c r="J19" s="304"/>
      <c r="K19" s="307"/>
      <c r="L19" s="308"/>
    </row>
    <row r="20" spans="3:12" ht="18" customHeight="1" thickBot="1" x14ac:dyDescent="0.5">
      <c r="C20" s="195">
        <v>58</v>
      </c>
      <c r="D20" s="309" t="s">
        <v>152</v>
      </c>
      <c r="E20" s="310"/>
      <c r="F20" s="311"/>
      <c r="I20" s="195">
        <v>58</v>
      </c>
      <c r="J20" s="309" t="s">
        <v>152</v>
      </c>
      <c r="K20" s="310"/>
      <c r="L20" s="311"/>
    </row>
    <row r="21" spans="3:12" ht="18" customHeight="1" thickBot="1" x14ac:dyDescent="0.5">
      <c r="C21" s="195">
        <v>57</v>
      </c>
      <c r="D21" s="312" t="s">
        <v>153</v>
      </c>
      <c r="E21" s="313"/>
      <c r="F21" s="314"/>
      <c r="I21" s="195">
        <v>57</v>
      </c>
      <c r="J21" s="312" t="s">
        <v>153</v>
      </c>
      <c r="K21" s="313"/>
      <c r="L21" s="314"/>
    </row>
    <row r="22" spans="3:12" ht="18" customHeight="1" thickBot="1" x14ac:dyDescent="0.5">
      <c r="C22" s="195">
        <v>56</v>
      </c>
      <c r="D22" s="312" t="s">
        <v>154</v>
      </c>
      <c r="E22" s="313"/>
      <c r="F22" s="314"/>
      <c r="I22" s="195">
        <v>56</v>
      </c>
      <c r="J22" s="312" t="s">
        <v>154</v>
      </c>
      <c r="K22" s="313"/>
      <c r="L22" s="314"/>
    </row>
    <row r="23" spans="3:12" ht="18" customHeight="1" thickBot="1" x14ac:dyDescent="0.5">
      <c r="C23" s="195">
        <v>55</v>
      </c>
      <c r="D23" s="312" t="s">
        <v>155</v>
      </c>
      <c r="E23" s="313"/>
      <c r="F23" s="314"/>
      <c r="I23" s="195">
        <v>55</v>
      </c>
      <c r="J23" s="312" t="s">
        <v>155</v>
      </c>
      <c r="K23" s="313"/>
      <c r="L23" s="314"/>
    </row>
    <row r="24" spans="3:12" ht="18" customHeight="1" thickBot="1" x14ac:dyDescent="0.5">
      <c r="C24" s="195">
        <v>54</v>
      </c>
      <c r="D24" s="312" t="s">
        <v>156</v>
      </c>
      <c r="E24" s="313"/>
      <c r="F24" s="314"/>
      <c r="I24" s="195">
        <v>54</v>
      </c>
      <c r="J24" s="312" t="s">
        <v>156</v>
      </c>
      <c r="K24" s="313"/>
      <c r="L24" s="314"/>
    </row>
    <row r="25" spans="3:12" ht="18" customHeight="1" thickBot="1" x14ac:dyDescent="0.5">
      <c r="C25" s="195">
        <v>53</v>
      </c>
      <c r="D25" s="312" t="s">
        <v>157</v>
      </c>
      <c r="E25" s="313"/>
      <c r="F25" s="314"/>
      <c r="I25" s="195">
        <v>53</v>
      </c>
      <c r="J25" s="312" t="s">
        <v>157</v>
      </c>
      <c r="K25" s="313"/>
      <c r="L25" s="314"/>
    </row>
    <row r="26" spans="3:12" ht="18" customHeight="1" thickBot="1" x14ac:dyDescent="0.5">
      <c r="C26" s="195">
        <v>52</v>
      </c>
      <c r="D26" s="312" t="s">
        <v>158</v>
      </c>
      <c r="E26" s="313"/>
      <c r="F26" s="314"/>
      <c r="I26" s="195">
        <v>52</v>
      </c>
      <c r="J26" s="312" t="s">
        <v>158</v>
      </c>
      <c r="K26" s="313"/>
      <c r="L26" s="314"/>
    </row>
    <row r="27" spans="3:12" ht="18" customHeight="1" thickBot="1" x14ac:dyDescent="0.5">
      <c r="C27" s="195">
        <v>51</v>
      </c>
      <c r="D27" s="312" t="s">
        <v>159</v>
      </c>
      <c r="E27" s="313"/>
      <c r="F27" s="314"/>
      <c r="I27" s="195">
        <v>51</v>
      </c>
      <c r="J27" s="312" t="s">
        <v>159</v>
      </c>
      <c r="K27" s="313"/>
      <c r="L27" s="314"/>
    </row>
    <row r="28" spans="3:12" ht="18" customHeight="1" thickBot="1" x14ac:dyDescent="0.5">
      <c r="C28" s="195">
        <v>50</v>
      </c>
      <c r="D28" s="315" t="s">
        <v>160</v>
      </c>
      <c r="E28" s="316"/>
      <c r="F28" s="317"/>
      <c r="I28" s="195">
        <v>50</v>
      </c>
      <c r="J28" s="315" t="s">
        <v>160</v>
      </c>
      <c r="K28" s="316"/>
      <c r="L28" s="317"/>
    </row>
    <row r="29" spans="3:12" ht="18" customHeight="1" thickBot="1" x14ac:dyDescent="0.5">
      <c r="C29" s="195">
        <v>49</v>
      </c>
      <c r="D29" s="196" t="s">
        <v>161</v>
      </c>
      <c r="E29" s="312" t="s">
        <v>162</v>
      </c>
      <c r="F29" s="314"/>
      <c r="I29" s="195">
        <v>49</v>
      </c>
      <c r="J29" s="196" t="s">
        <v>161</v>
      </c>
      <c r="K29" s="312" t="s">
        <v>162</v>
      </c>
      <c r="L29" s="314"/>
    </row>
    <row r="30" spans="3:12" ht="18" customHeight="1" thickBot="1" x14ac:dyDescent="0.5">
      <c r="C30" s="195">
        <v>48</v>
      </c>
      <c r="D30" s="197" t="s">
        <v>163</v>
      </c>
      <c r="E30" s="312" t="s">
        <v>164</v>
      </c>
      <c r="F30" s="314"/>
      <c r="I30" s="195">
        <v>48</v>
      </c>
      <c r="J30" s="197" t="s">
        <v>163</v>
      </c>
      <c r="K30" s="312" t="s">
        <v>164</v>
      </c>
      <c r="L30" s="314"/>
    </row>
    <row r="31" spans="3:12" ht="18" customHeight="1" thickBot="1" x14ac:dyDescent="0.5">
      <c r="C31" s="195">
        <v>47</v>
      </c>
      <c r="D31" s="197" t="s">
        <v>165</v>
      </c>
      <c r="E31" s="312" t="s">
        <v>166</v>
      </c>
      <c r="F31" s="314"/>
      <c r="I31" s="195">
        <v>47</v>
      </c>
      <c r="J31" s="197" t="s">
        <v>165</v>
      </c>
      <c r="K31" s="312" t="s">
        <v>166</v>
      </c>
      <c r="L31" s="314"/>
    </row>
    <row r="32" spans="3:12" ht="18" customHeight="1" thickBot="1" x14ac:dyDescent="0.5">
      <c r="C32" s="195">
        <v>46</v>
      </c>
      <c r="D32" s="196" t="s">
        <v>167</v>
      </c>
      <c r="E32" s="312" t="s">
        <v>168</v>
      </c>
      <c r="F32" s="314"/>
      <c r="I32" s="195">
        <v>46</v>
      </c>
      <c r="J32" s="196" t="s">
        <v>167</v>
      </c>
      <c r="K32" s="312" t="s">
        <v>168</v>
      </c>
      <c r="L32" s="314"/>
    </row>
    <row r="33" spans="1:12" ht="18" customHeight="1" thickBot="1" x14ac:dyDescent="0.5">
      <c r="C33" s="195">
        <v>45</v>
      </c>
      <c r="D33" s="196" t="s">
        <v>169</v>
      </c>
      <c r="E33" s="312" t="s">
        <v>170</v>
      </c>
      <c r="F33" s="314"/>
      <c r="I33" s="195">
        <v>45</v>
      </c>
      <c r="J33" s="196" t="s">
        <v>169</v>
      </c>
      <c r="K33" s="312" t="s">
        <v>170</v>
      </c>
      <c r="L33" s="314"/>
    </row>
    <row r="34" spans="1:12" ht="18" customHeight="1" thickBot="1" x14ac:dyDescent="0.5">
      <c r="C34" s="195">
        <v>44</v>
      </c>
      <c r="D34" s="196" t="s">
        <v>171</v>
      </c>
      <c r="E34" s="312" t="s">
        <v>172</v>
      </c>
      <c r="F34" s="314"/>
      <c r="I34" s="195">
        <v>44</v>
      </c>
      <c r="J34" s="196" t="s">
        <v>171</v>
      </c>
      <c r="K34" s="312" t="s">
        <v>172</v>
      </c>
      <c r="L34" s="314"/>
    </row>
    <row r="35" spans="1:12" ht="18" customHeight="1" thickBot="1" x14ac:dyDescent="0.5">
      <c r="C35" s="195">
        <v>43</v>
      </c>
      <c r="D35" s="197" t="s">
        <v>173</v>
      </c>
      <c r="E35" s="312" t="s">
        <v>174</v>
      </c>
      <c r="F35" s="314"/>
      <c r="I35" s="195">
        <v>43</v>
      </c>
      <c r="J35" s="197" t="s">
        <v>173</v>
      </c>
      <c r="K35" s="312" t="s">
        <v>174</v>
      </c>
      <c r="L35" s="314"/>
    </row>
    <row r="36" spans="1:12" ht="18" customHeight="1" thickBot="1" x14ac:dyDescent="0.5">
      <c r="C36" s="195">
        <v>42</v>
      </c>
      <c r="D36" s="198" t="s">
        <v>175</v>
      </c>
      <c r="E36" s="312" t="s">
        <v>176</v>
      </c>
      <c r="F36" s="314"/>
      <c r="I36" s="195">
        <v>42</v>
      </c>
      <c r="J36" s="198" t="s">
        <v>175</v>
      </c>
      <c r="K36" s="312" t="s">
        <v>176</v>
      </c>
      <c r="L36" s="314"/>
    </row>
    <row r="37" spans="1:12" ht="18" customHeight="1" thickBot="1" x14ac:dyDescent="0.5">
      <c r="C37" s="195">
        <v>41</v>
      </c>
      <c r="D37" s="198" t="s">
        <v>177</v>
      </c>
      <c r="E37" s="312" t="s">
        <v>178</v>
      </c>
      <c r="F37" s="314"/>
      <c r="I37" s="195">
        <v>41</v>
      </c>
      <c r="J37" s="198" t="s">
        <v>177</v>
      </c>
      <c r="K37" s="312" t="s">
        <v>178</v>
      </c>
      <c r="L37" s="314"/>
    </row>
    <row r="38" spans="1:12" ht="18" customHeight="1" thickBot="1" x14ac:dyDescent="0.5">
      <c r="C38" s="195">
        <v>40</v>
      </c>
      <c r="D38" s="198" t="s">
        <v>179</v>
      </c>
      <c r="E38" s="312" t="s">
        <v>180</v>
      </c>
      <c r="F38" s="314"/>
      <c r="I38" s="195">
        <v>40</v>
      </c>
      <c r="J38" s="198" t="s">
        <v>179</v>
      </c>
      <c r="K38" s="312" t="s">
        <v>180</v>
      </c>
      <c r="L38" s="314"/>
    </row>
    <row r="39" spans="1:12" ht="18" customHeight="1" thickBot="1" x14ac:dyDescent="0.5">
      <c r="C39" s="195">
        <v>39</v>
      </c>
      <c r="D39" s="197" t="s">
        <v>181</v>
      </c>
      <c r="E39" s="312" t="s">
        <v>182</v>
      </c>
      <c r="F39" s="314"/>
      <c r="I39" s="195">
        <v>39</v>
      </c>
      <c r="J39" s="197" t="s">
        <v>181</v>
      </c>
      <c r="K39" s="312" t="s">
        <v>182</v>
      </c>
      <c r="L39" s="314"/>
    </row>
    <row r="40" spans="1:12" ht="18" customHeight="1" thickBot="1" x14ac:dyDescent="0.5">
      <c r="C40" s="195">
        <v>38</v>
      </c>
      <c r="D40" s="196" t="s">
        <v>183</v>
      </c>
      <c r="E40" s="312" t="s">
        <v>184</v>
      </c>
      <c r="F40" s="314"/>
      <c r="I40" s="195">
        <v>38</v>
      </c>
      <c r="J40" s="196" t="s">
        <v>183</v>
      </c>
      <c r="K40" s="312" t="s">
        <v>184</v>
      </c>
      <c r="L40" s="314"/>
    </row>
    <row r="41" spans="1:12" ht="18" customHeight="1" thickBot="1" x14ac:dyDescent="0.5">
      <c r="C41" s="195">
        <v>37</v>
      </c>
      <c r="D41" s="198" t="s">
        <v>185</v>
      </c>
      <c r="E41" s="312" t="s">
        <v>186</v>
      </c>
      <c r="F41" s="314"/>
      <c r="I41" s="195">
        <v>37</v>
      </c>
      <c r="J41" s="198" t="s">
        <v>185</v>
      </c>
      <c r="K41" s="312" t="s">
        <v>186</v>
      </c>
      <c r="L41" s="314"/>
    </row>
    <row r="42" spans="1:12" ht="18" customHeight="1" thickBot="1" x14ac:dyDescent="0.5">
      <c r="C42" s="195">
        <v>36</v>
      </c>
      <c r="D42" s="198" t="s">
        <v>187</v>
      </c>
      <c r="E42" s="312" t="s">
        <v>188</v>
      </c>
      <c r="F42" s="314"/>
      <c r="I42" s="195">
        <v>36</v>
      </c>
      <c r="J42" s="198" t="s">
        <v>187</v>
      </c>
      <c r="K42" s="312" t="s">
        <v>188</v>
      </c>
      <c r="L42" s="314"/>
    </row>
    <row r="43" spans="1:12" ht="18" customHeight="1" thickBot="1" x14ac:dyDescent="0.5">
      <c r="C43" s="195">
        <v>35</v>
      </c>
      <c r="D43" s="199" t="s">
        <v>189</v>
      </c>
      <c r="E43" s="312" t="s">
        <v>190</v>
      </c>
      <c r="F43" s="314"/>
      <c r="I43" s="195">
        <v>35</v>
      </c>
      <c r="J43" s="199" t="s">
        <v>189</v>
      </c>
      <c r="K43" s="312" t="s">
        <v>190</v>
      </c>
      <c r="L43" s="314"/>
    </row>
    <row r="44" spans="1:12" ht="18" customHeight="1" thickBot="1" x14ac:dyDescent="0.5">
      <c r="A44" s="318" t="s">
        <v>191</v>
      </c>
      <c r="B44" s="319"/>
      <c r="C44" s="200">
        <v>34</v>
      </c>
      <c r="D44" s="198" t="s">
        <v>192</v>
      </c>
      <c r="E44" s="312" t="s">
        <v>193</v>
      </c>
      <c r="F44" s="314"/>
      <c r="I44" s="200">
        <v>34</v>
      </c>
      <c r="J44" s="198" t="s">
        <v>192</v>
      </c>
      <c r="K44" s="312" t="s">
        <v>193</v>
      </c>
      <c r="L44" s="314"/>
    </row>
    <row r="45" spans="1:12" ht="18" customHeight="1" thickBot="1" x14ac:dyDescent="0.5">
      <c r="A45" s="320" t="s">
        <v>194</v>
      </c>
      <c r="B45" s="321"/>
      <c r="C45" s="200">
        <v>33</v>
      </c>
      <c r="D45" s="198" t="s">
        <v>195</v>
      </c>
      <c r="E45" s="322" t="s">
        <v>196</v>
      </c>
      <c r="F45" s="323"/>
      <c r="I45" s="200">
        <v>33</v>
      </c>
      <c r="J45" s="198" t="s">
        <v>195</v>
      </c>
      <c r="K45" s="322" t="s">
        <v>196</v>
      </c>
      <c r="L45" s="323"/>
    </row>
    <row r="46" spans="1:12" ht="18" customHeight="1" thickBot="1" x14ac:dyDescent="0.5">
      <c r="A46" s="324" t="s">
        <v>197</v>
      </c>
      <c r="B46" s="325"/>
      <c r="C46" s="195">
        <v>32</v>
      </c>
      <c r="D46" s="315" t="s">
        <v>198</v>
      </c>
      <c r="E46" s="316"/>
      <c r="F46" s="317"/>
      <c r="I46" s="195">
        <v>32</v>
      </c>
      <c r="J46" s="315" t="s">
        <v>198</v>
      </c>
      <c r="K46" s="316"/>
      <c r="L46" s="317"/>
    </row>
    <row r="47" spans="1:12" ht="18" customHeight="1" thickBot="1" x14ac:dyDescent="0.5">
      <c r="C47" s="195">
        <v>31</v>
      </c>
      <c r="D47" s="315" t="s">
        <v>199</v>
      </c>
      <c r="E47" s="316"/>
      <c r="F47" s="317"/>
      <c r="I47" s="195">
        <v>31</v>
      </c>
      <c r="J47" s="315" t="s">
        <v>199</v>
      </c>
      <c r="K47" s="316"/>
      <c r="L47" s="317"/>
    </row>
    <row r="48" spans="1:12" ht="18" customHeight="1" thickBot="1" x14ac:dyDescent="0.5">
      <c r="C48" s="195">
        <v>30</v>
      </c>
      <c r="D48" s="199" t="s">
        <v>200</v>
      </c>
      <c r="E48" s="201" t="s">
        <v>201</v>
      </c>
      <c r="F48" s="199" t="s">
        <v>202</v>
      </c>
      <c r="I48" s="195">
        <v>30</v>
      </c>
      <c r="J48" s="199" t="s">
        <v>200</v>
      </c>
      <c r="K48" s="201" t="s">
        <v>201</v>
      </c>
      <c r="L48" s="199" t="s">
        <v>202</v>
      </c>
    </row>
    <row r="49" spans="3:12" ht="18" customHeight="1" thickBot="1" x14ac:dyDescent="0.5">
      <c r="C49" s="195">
        <v>29</v>
      </c>
      <c r="D49" s="198" t="s">
        <v>203</v>
      </c>
      <c r="E49" s="201" t="s">
        <v>204</v>
      </c>
      <c r="F49" s="201" t="s">
        <v>205</v>
      </c>
      <c r="I49" s="195">
        <v>29</v>
      </c>
      <c r="J49" s="198" t="s">
        <v>203</v>
      </c>
      <c r="K49" s="201" t="s">
        <v>204</v>
      </c>
      <c r="L49" s="201" t="s">
        <v>205</v>
      </c>
    </row>
    <row r="50" spans="3:12" ht="18" customHeight="1" thickBot="1" x14ac:dyDescent="0.5">
      <c r="C50" s="195">
        <v>28</v>
      </c>
      <c r="D50" s="198" t="s">
        <v>206</v>
      </c>
      <c r="E50" s="198" t="s">
        <v>207</v>
      </c>
      <c r="F50" s="201" t="s">
        <v>208</v>
      </c>
      <c r="I50" s="195">
        <v>28</v>
      </c>
      <c r="J50" s="198" t="s">
        <v>206</v>
      </c>
      <c r="K50" s="198" t="s">
        <v>207</v>
      </c>
      <c r="L50" s="201" t="s">
        <v>208</v>
      </c>
    </row>
    <row r="51" spans="3:12" ht="18" customHeight="1" thickBot="1" x14ac:dyDescent="0.5">
      <c r="C51" s="195">
        <v>27</v>
      </c>
      <c r="D51" s="198" t="s">
        <v>209</v>
      </c>
      <c r="E51" s="201" t="s">
        <v>210</v>
      </c>
      <c r="F51" s="201" t="s">
        <v>211</v>
      </c>
      <c r="I51" s="195">
        <v>27</v>
      </c>
      <c r="J51" s="198" t="s">
        <v>209</v>
      </c>
      <c r="K51" s="201" t="s">
        <v>210</v>
      </c>
      <c r="L51" s="201" t="s">
        <v>211</v>
      </c>
    </row>
    <row r="52" spans="3:12" ht="18" customHeight="1" thickBot="1" x14ac:dyDescent="0.5">
      <c r="C52" s="195">
        <v>26</v>
      </c>
      <c r="D52" s="198" t="s">
        <v>212</v>
      </c>
      <c r="E52" s="201" t="s">
        <v>213</v>
      </c>
      <c r="F52" s="201" t="s">
        <v>214</v>
      </c>
      <c r="I52" s="195">
        <v>26</v>
      </c>
      <c r="J52" s="198" t="s">
        <v>212</v>
      </c>
      <c r="K52" s="201" t="s">
        <v>213</v>
      </c>
      <c r="L52" s="201" t="s">
        <v>214</v>
      </c>
    </row>
    <row r="53" spans="3:12" ht="18" customHeight="1" thickBot="1" x14ac:dyDescent="0.5">
      <c r="C53" s="195">
        <v>25</v>
      </c>
      <c r="D53" s="198" t="s">
        <v>215</v>
      </c>
      <c r="E53" s="201" t="s">
        <v>216</v>
      </c>
      <c r="F53" s="201" t="s">
        <v>217</v>
      </c>
      <c r="I53" s="195">
        <v>25</v>
      </c>
      <c r="J53" s="198" t="s">
        <v>215</v>
      </c>
      <c r="K53" s="201" t="s">
        <v>216</v>
      </c>
      <c r="L53" s="201" t="s">
        <v>217</v>
      </c>
    </row>
    <row r="54" spans="3:12" ht="18" customHeight="1" thickBot="1" x14ac:dyDescent="0.5">
      <c r="C54" s="195">
        <v>24</v>
      </c>
      <c r="D54" s="198" t="s">
        <v>218</v>
      </c>
      <c r="E54" s="201" t="s">
        <v>219</v>
      </c>
      <c r="F54" s="201" t="s">
        <v>220</v>
      </c>
      <c r="I54" s="195">
        <v>24</v>
      </c>
      <c r="J54" s="198" t="s">
        <v>218</v>
      </c>
      <c r="K54" s="201" t="s">
        <v>219</v>
      </c>
      <c r="L54" s="201" t="s">
        <v>220</v>
      </c>
    </row>
    <row r="55" spans="3:12" ht="18" customHeight="1" thickBot="1" x14ac:dyDescent="0.5">
      <c r="C55" s="195">
        <v>23</v>
      </c>
      <c r="D55" s="201" t="s">
        <v>221</v>
      </c>
      <c r="E55" s="201" t="s">
        <v>222</v>
      </c>
      <c r="F55" s="201" t="s">
        <v>223</v>
      </c>
      <c r="I55" s="195">
        <v>23</v>
      </c>
      <c r="J55" s="201" t="s">
        <v>221</v>
      </c>
      <c r="K55" s="201" t="s">
        <v>222</v>
      </c>
      <c r="L55" s="201" t="s">
        <v>223</v>
      </c>
    </row>
    <row r="56" spans="3:12" ht="18" customHeight="1" thickBot="1" x14ac:dyDescent="0.5">
      <c r="C56" s="195">
        <v>22</v>
      </c>
      <c r="D56" s="201" t="s">
        <v>224</v>
      </c>
      <c r="E56" s="201" t="s">
        <v>225</v>
      </c>
      <c r="F56" s="201" t="s">
        <v>226</v>
      </c>
      <c r="I56" s="195">
        <v>22</v>
      </c>
      <c r="J56" s="201" t="s">
        <v>224</v>
      </c>
      <c r="K56" s="201" t="s">
        <v>225</v>
      </c>
      <c r="L56" s="201" t="s">
        <v>226</v>
      </c>
    </row>
    <row r="57" spans="3:12" ht="18" customHeight="1" thickBot="1" x14ac:dyDescent="0.5">
      <c r="C57" s="195">
        <v>21</v>
      </c>
      <c r="D57" s="201" t="s">
        <v>227</v>
      </c>
      <c r="E57" s="198" t="s">
        <v>228</v>
      </c>
      <c r="F57" s="201" t="s">
        <v>229</v>
      </c>
      <c r="I57" s="195">
        <v>21</v>
      </c>
      <c r="J57" s="201" t="s">
        <v>227</v>
      </c>
      <c r="K57" s="198" t="s">
        <v>228</v>
      </c>
      <c r="L57" s="201" t="s">
        <v>229</v>
      </c>
    </row>
    <row r="58" spans="3:12" ht="18" customHeight="1" thickBot="1" x14ac:dyDescent="0.5">
      <c r="C58" s="195">
        <v>20</v>
      </c>
      <c r="D58" s="198" t="s">
        <v>230</v>
      </c>
      <c r="E58" s="198" t="s">
        <v>231</v>
      </c>
      <c r="F58" s="198" t="s">
        <v>232</v>
      </c>
      <c r="I58" s="195">
        <v>20</v>
      </c>
      <c r="J58" s="198" t="s">
        <v>230</v>
      </c>
      <c r="K58" s="198" t="s">
        <v>231</v>
      </c>
      <c r="L58" s="198" t="s">
        <v>232</v>
      </c>
    </row>
    <row r="59" spans="3:12" ht="18" customHeight="1" thickBot="1" x14ac:dyDescent="0.5">
      <c r="C59" s="195">
        <v>19</v>
      </c>
      <c r="D59" s="201" t="s">
        <v>233</v>
      </c>
      <c r="E59" s="201" t="s">
        <v>234</v>
      </c>
      <c r="F59" s="201" t="s">
        <v>235</v>
      </c>
      <c r="I59" s="195">
        <v>19</v>
      </c>
      <c r="J59" s="201" t="s">
        <v>233</v>
      </c>
      <c r="K59" s="201" t="s">
        <v>234</v>
      </c>
      <c r="L59" s="201" t="s">
        <v>235</v>
      </c>
    </row>
    <row r="60" spans="3:12" ht="18" customHeight="1" thickBot="1" x14ac:dyDescent="0.5">
      <c r="C60" s="195">
        <v>18</v>
      </c>
      <c r="D60" s="201" t="s">
        <v>236</v>
      </c>
      <c r="E60" s="201" t="s">
        <v>237</v>
      </c>
      <c r="F60" s="201" t="s">
        <v>238</v>
      </c>
      <c r="I60" s="195">
        <v>18</v>
      </c>
      <c r="J60" s="201" t="s">
        <v>236</v>
      </c>
      <c r="K60" s="201" t="s">
        <v>237</v>
      </c>
      <c r="L60" s="201" t="s">
        <v>238</v>
      </c>
    </row>
    <row r="61" spans="3:12" ht="18" customHeight="1" thickBot="1" x14ac:dyDescent="0.5">
      <c r="C61" s="195">
        <v>17</v>
      </c>
      <c r="D61" s="198" t="s">
        <v>239</v>
      </c>
      <c r="E61" s="198" t="s">
        <v>240</v>
      </c>
      <c r="F61" s="201" t="s">
        <v>241</v>
      </c>
      <c r="I61" s="195">
        <v>17</v>
      </c>
      <c r="J61" s="198" t="s">
        <v>239</v>
      </c>
      <c r="K61" s="198" t="s">
        <v>240</v>
      </c>
      <c r="L61" s="201" t="s">
        <v>241</v>
      </c>
    </row>
    <row r="62" spans="3:12" ht="18" customHeight="1" thickBot="1" x14ac:dyDescent="0.5">
      <c r="C62" s="195">
        <v>16</v>
      </c>
      <c r="D62" s="198" t="s">
        <v>242</v>
      </c>
      <c r="E62" s="201" t="s">
        <v>243</v>
      </c>
      <c r="F62" s="201" t="s">
        <v>244</v>
      </c>
      <c r="I62" s="195">
        <v>16</v>
      </c>
      <c r="J62" s="198" t="s">
        <v>242</v>
      </c>
      <c r="K62" s="201" t="s">
        <v>243</v>
      </c>
      <c r="L62" s="201" t="s">
        <v>244</v>
      </c>
    </row>
    <row r="63" spans="3:12" ht="18" customHeight="1" thickBot="1" x14ac:dyDescent="0.5">
      <c r="C63" s="195">
        <v>15</v>
      </c>
      <c r="D63" s="198" t="s">
        <v>245</v>
      </c>
      <c r="E63" s="201" t="s">
        <v>246</v>
      </c>
      <c r="F63" s="201" t="s">
        <v>247</v>
      </c>
      <c r="I63" s="195">
        <v>15</v>
      </c>
      <c r="J63" s="198" t="s">
        <v>245</v>
      </c>
      <c r="K63" s="201" t="s">
        <v>246</v>
      </c>
      <c r="L63" s="201" t="s">
        <v>247</v>
      </c>
    </row>
    <row r="64" spans="3:12" ht="18" customHeight="1" thickBot="1" x14ac:dyDescent="0.5">
      <c r="C64" s="195">
        <v>14</v>
      </c>
      <c r="D64" s="201" t="s">
        <v>248</v>
      </c>
      <c r="E64" s="201" t="s">
        <v>249</v>
      </c>
      <c r="F64" s="201" t="s">
        <v>250</v>
      </c>
      <c r="I64" s="195">
        <v>14</v>
      </c>
      <c r="J64" s="201" t="s">
        <v>248</v>
      </c>
      <c r="K64" s="201" t="s">
        <v>249</v>
      </c>
      <c r="L64" s="201" t="s">
        <v>250</v>
      </c>
    </row>
    <row r="65" spans="3:12" ht="18" customHeight="1" thickBot="1" x14ac:dyDescent="0.5">
      <c r="C65" s="195">
        <v>13</v>
      </c>
      <c r="D65" s="201" t="s">
        <v>251</v>
      </c>
      <c r="E65" s="201" t="s">
        <v>252</v>
      </c>
      <c r="F65" s="201" t="s">
        <v>253</v>
      </c>
      <c r="I65" s="195">
        <v>13</v>
      </c>
      <c r="J65" s="201" t="s">
        <v>251</v>
      </c>
      <c r="K65" s="201" t="s">
        <v>252</v>
      </c>
      <c r="L65" s="201" t="s">
        <v>253</v>
      </c>
    </row>
    <row r="66" spans="3:12" ht="18" customHeight="1" thickBot="1" x14ac:dyDescent="0.5">
      <c r="C66" s="195">
        <v>12</v>
      </c>
      <c r="D66" s="198" t="s">
        <v>254</v>
      </c>
      <c r="E66" s="201" t="s">
        <v>255</v>
      </c>
      <c r="F66" s="201" t="s">
        <v>256</v>
      </c>
      <c r="I66" s="195">
        <v>12</v>
      </c>
      <c r="J66" s="198" t="s">
        <v>254</v>
      </c>
      <c r="K66" s="201" t="s">
        <v>255</v>
      </c>
      <c r="L66" s="201" t="s">
        <v>256</v>
      </c>
    </row>
    <row r="67" spans="3:12" ht="18" customHeight="1" thickBot="1" x14ac:dyDescent="0.5">
      <c r="C67" s="195">
        <v>11</v>
      </c>
      <c r="D67" s="198" t="s">
        <v>257</v>
      </c>
      <c r="E67" s="198" t="s">
        <v>258</v>
      </c>
      <c r="F67" s="201" t="s">
        <v>259</v>
      </c>
      <c r="I67" s="195">
        <v>11</v>
      </c>
      <c r="J67" s="198" t="s">
        <v>257</v>
      </c>
      <c r="K67" s="198" t="s">
        <v>258</v>
      </c>
      <c r="L67" s="201" t="s">
        <v>259</v>
      </c>
    </row>
    <row r="68" spans="3:12" ht="18" customHeight="1" thickBot="1" x14ac:dyDescent="0.5">
      <c r="C68" s="195">
        <v>10</v>
      </c>
      <c r="D68" s="282" t="s">
        <v>260</v>
      </c>
      <c r="E68" s="283"/>
      <c r="F68" s="284"/>
      <c r="I68" s="195">
        <v>10</v>
      </c>
      <c r="J68" s="282" t="s">
        <v>260</v>
      </c>
      <c r="K68" s="283"/>
      <c r="L68" s="284"/>
    </row>
    <row r="69" spans="3:12" ht="18" customHeight="1" thickBot="1" x14ac:dyDescent="0.5">
      <c r="C69" s="195">
        <v>9</v>
      </c>
      <c r="D69" s="198" t="s">
        <v>261</v>
      </c>
      <c r="E69" s="201" t="s">
        <v>262</v>
      </c>
      <c r="F69" s="201" t="s">
        <v>263</v>
      </c>
      <c r="I69" s="195">
        <v>9</v>
      </c>
      <c r="J69" s="198" t="s">
        <v>261</v>
      </c>
      <c r="K69" s="201" t="s">
        <v>262</v>
      </c>
      <c r="L69" s="201" t="s">
        <v>263</v>
      </c>
    </row>
    <row r="70" spans="3:12" ht="18" customHeight="1" thickBot="1" x14ac:dyDescent="0.5">
      <c r="C70" s="195">
        <v>8</v>
      </c>
      <c r="D70" s="198" t="s">
        <v>264</v>
      </c>
      <c r="E70" s="198" t="s">
        <v>265</v>
      </c>
      <c r="F70" s="198" t="s">
        <v>266</v>
      </c>
      <c r="I70" s="195">
        <v>8</v>
      </c>
      <c r="J70" s="198" t="s">
        <v>264</v>
      </c>
      <c r="K70" s="198" t="s">
        <v>265</v>
      </c>
      <c r="L70" s="198" t="s">
        <v>266</v>
      </c>
    </row>
    <row r="71" spans="3:12" ht="18" customHeight="1" thickBot="1" x14ac:dyDescent="0.5">
      <c r="C71" s="195">
        <v>7</v>
      </c>
      <c r="D71" s="198" t="s">
        <v>267</v>
      </c>
      <c r="E71" s="198" t="s">
        <v>268</v>
      </c>
      <c r="F71" s="201" t="s">
        <v>269</v>
      </c>
      <c r="I71" s="195">
        <v>7</v>
      </c>
      <c r="J71" s="198" t="s">
        <v>267</v>
      </c>
      <c r="K71" s="198" t="s">
        <v>268</v>
      </c>
      <c r="L71" s="201" t="s">
        <v>269</v>
      </c>
    </row>
    <row r="72" spans="3:12" ht="18" customHeight="1" thickBot="1" x14ac:dyDescent="0.5">
      <c r="C72" s="195">
        <v>6</v>
      </c>
      <c r="D72" s="198" t="s">
        <v>270</v>
      </c>
      <c r="E72" s="201" t="s">
        <v>271</v>
      </c>
      <c r="F72" s="198" t="s">
        <v>272</v>
      </c>
      <c r="I72" s="195">
        <v>6</v>
      </c>
      <c r="J72" s="198" t="s">
        <v>270</v>
      </c>
      <c r="K72" s="201" t="s">
        <v>271</v>
      </c>
      <c r="L72" s="198" t="s">
        <v>272</v>
      </c>
    </row>
    <row r="73" spans="3:12" ht="18" customHeight="1" thickBot="1" x14ac:dyDescent="0.5">
      <c r="C73" s="195">
        <v>5</v>
      </c>
      <c r="D73" s="198" t="s">
        <v>273</v>
      </c>
      <c r="E73" s="198" t="s">
        <v>274</v>
      </c>
      <c r="F73" s="201" t="s">
        <v>275</v>
      </c>
      <c r="I73" s="195">
        <v>5</v>
      </c>
      <c r="J73" s="198" t="s">
        <v>273</v>
      </c>
      <c r="K73" s="198" t="s">
        <v>274</v>
      </c>
      <c r="L73" s="201" t="s">
        <v>275</v>
      </c>
    </row>
    <row r="74" spans="3:12" ht="18" customHeight="1" thickBot="1" x14ac:dyDescent="0.5">
      <c r="C74" s="195">
        <v>4</v>
      </c>
      <c r="D74" s="198" t="s">
        <v>276</v>
      </c>
      <c r="E74" s="199" t="s">
        <v>277</v>
      </c>
      <c r="F74" s="198" t="s">
        <v>278</v>
      </c>
      <c r="I74" s="195">
        <v>4</v>
      </c>
      <c r="J74" s="198" t="s">
        <v>276</v>
      </c>
      <c r="K74" s="199" t="s">
        <v>277</v>
      </c>
      <c r="L74" s="198" t="s">
        <v>278</v>
      </c>
    </row>
    <row r="75" spans="3:12" ht="18" customHeight="1" thickBot="1" x14ac:dyDescent="0.5">
      <c r="C75" s="195">
        <v>3</v>
      </c>
      <c r="D75" s="198" t="s">
        <v>279</v>
      </c>
      <c r="E75" s="198" t="s">
        <v>280</v>
      </c>
      <c r="F75" s="198" t="s">
        <v>281</v>
      </c>
      <c r="I75" s="195">
        <v>3</v>
      </c>
      <c r="J75" s="198" t="s">
        <v>279</v>
      </c>
      <c r="K75" s="198" t="s">
        <v>280</v>
      </c>
      <c r="L75" s="198" t="s">
        <v>281</v>
      </c>
    </row>
    <row r="76" spans="3:12" ht="18" customHeight="1" thickBot="1" x14ac:dyDescent="0.5">
      <c r="C76" s="195">
        <v>2</v>
      </c>
      <c r="D76" s="202"/>
      <c r="E76" s="203"/>
      <c r="F76" s="204"/>
      <c r="I76" s="195">
        <v>2</v>
      </c>
      <c r="J76" s="202"/>
      <c r="K76" s="203"/>
      <c r="L76" s="204"/>
    </row>
    <row r="77" spans="3:12" ht="18" customHeight="1" thickBot="1" x14ac:dyDescent="0.5">
      <c r="C77" s="195">
        <v>1</v>
      </c>
      <c r="D77" s="282" t="s">
        <v>282</v>
      </c>
      <c r="E77" s="283"/>
      <c r="F77" s="284"/>
      <c r="I77" s="195">
        <v>1</v>
      </c>
      <c r="J77" s="282" t="s">
        <v>282</v>
      </c>
      <c r="K77" s="283"/>
      <c r="L77" s="284"/>
    </row>
    <row r="78" spans="3:12" x14ac:dyDescent="0.45">
      <c r="C78" s="189"/>
    </row>
    <row r="79" spans="3:12" x14ac:dyDescent="0.45">
      <c r="C79" s="189"/>
    </row>
    <row r="80" spans="3:12" x14ac:dyDescent="0.45">
      <c r="C80" s="189"/>
    </row>
    <row r="81" spans="3:5" x14ac:dyDescent="0.45">
      <c r="C81" s="189"/>
      <c r="E81" s="205"/>
    </row>
    <row r="82" spans="3:5" x14ac:dyDescent="0.45">
      <c r="E82" s="206"/>
    </row>
    <row r="83" spans="3:5" x14ac:dyDescent="0.45">
      <c r="E83" s="206"/>
    </row>
    <row r="84" spans="3:5" x14ac:dyDescent="0.45">
      <c r="E84" s="206"/>
    </row>
    <row r="92" spans="3:5" x14ac:dyDescent="0.45">
      <c r="E92" s="207"/>
    </row>
    <row r="93" spans="3:5" x14ac:dyDescent="0.45">
      <c r="E93" s="207"/>
    </row>
    <row r="94" spans="3:5" x14ac:dyDescent="0.45">
      <c r="E94" s="208"/>
    </row>
  </sheetData>
  <mergeCells count="89">
    <mergeCell ref="D47:F47"/>
    <mergeCell ref="J47:L47"/>
    <mergeCell ref="D68:F68"/>
    <mergeCell ref="J68:L68"/>
    <mergeCell ref="D77:F77"/>
    <mergeCell ref="J77:L77"/>
    <mergeCell ref="A45:B45"/>
    <mergeCell ref="E45:F45"/>
    <mergeCell ref="K45:L45"/>
    <mergeCell ref="A46:B46"/>
    <mergeCell ref="D46:F46"/>
    <mergeCell ref="J46:L46"/>
    <mergeCell ref="E42:F42"/>
    <mergeCell ref="K42:L42"/>
    <mergeCell ref="E43:F43"/>
    <mergeCell ref="K43:L43"/>
    <mergeCell ref="A44:B44"/>
    <mergeCell ref="E44:F44"/>
    <mergeCell ref="K44:L44"/>
    <mergeCell ref="E39:F39"/>
    <mergeCell ref="K39:L39"/>
    <mergeCell ref="E40:F40"/>
    <mergeCell ref="K40:L40"/>
    <mergeCell ref="E41:F41"/>
    <mergeCell ref="K41:L41"/>
    <mergeCell ref="E36:F36"/>
    <mergeCell ref="K36:L36"/>
    <mergeCell ref="E37:F37"/>
    <mergeCell ref="K37:L37"/>
    <mergeCell ref="E38:F38"/>
    <mergeCell ref="K38:L38"/>
    <mergeCell ref="E33:F33"/>
    <mergeCell ref="K33:L33"/>
    <mergeCell ref="E34:F34"/>
    <mergeCell ref="K34:L34"/>
    <mergeCell ref="E35:F35"/>
    <mergeCell ref="K35:L35"/>
    <mergeCell ref="E30:F30"/>
    <mergeCell ref="K30:L30"/>
    <mergeCell ref="E31:F31"/>
    <mergeCell ref="K31:L31"/>
    <mergeCell ref="E32:F32"/>
    <mergeCell ref="K32:L32"/>
    <mergeCell ref="D27:F27"/>
    <mergeCell ref="J27:L27"/>
    <mergeCell ref="D28:F28"/>
    <mergeCell ref="J28:L28"/>
    <mergeCell ref="E29:F29"/>
    <mergeCell ref="K29:L29"/>
    <mergeCell ref="D24:F24"/>
    <mergeCell ref="J24:L24"/>
    <mergeCell ref="D25:F25"/>
    <mergeCell ref="J25:L25"/>
    <mergeCell ref="D26:F26"/>
    <mergeCell ref="J26:L26"/>
    <mergeCell ref="D21:F21"/>
    <mergeCell ref="J21:L21"/>
    <mergeCell ref="D22:F22"/>
    <mergeCell ref="J22:L22"/>
    <mergeCell ref="D23:F23"/>
    <mergeCell ref="J23:L23"/>
    <mergeCell ref="D18:D19"/>
    <mergeCell ref="E18:F19"/>
    <mergeCell ref="J18:J19"/>
    <mergeCell ref="K18:L19"/>
    <mergeCell ref="D20:F20"/>
    <mergeCell ref="J20:L20"/>
    <mergeCell ref="D14:D15"/>
    <mergeCell ref="E14:F15"/>
    <mergeCell ref="J14:J15"/>
    <mergeCell ref="K14:L15"/>
    <mergeCell ref="D16:D17"/>
    <mergeCell ref="E16:F17"/>
    <mergeCell ref="J16:J17"/>
    <mergeCell ref="K16:L17"/>
    <mergeCell ref="D9:F10"/>
    <mergeCell ref="J9:L10"/>
    <mergeCell ref="D11:F11"/>
    <mergeCell ref="J11:L11"/>
    <mergeCell ref="D12:D13"/>
    <mergeCell ref="E12:F13"/>
    <mergeCell ref="J12:J13"/>
    <mergeCell ref="K12:L13"/>
    <mergeCell ref="D2:F2"/>
    <mergeCell ref="J2:L2"/>
    <mergeCell ref="D4:F4"/>
    <mergeCell ref="J4:L4"/>
    <mergeCell ref="D5:F8"/>
    <mergeCell ref="J5:L8"/>
  </mergeCells>
  <printOptions horizontalCentered="1" verticalCentered="1"/>
  <pageMargins left="0" right="0" top="0" bottom="0" header="0.31496062992125984" footer="0.31496062992125984"/>
  <pageSetup paperSize="8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30CB-8D57-4838-95E1-B8D636540B8A}">
  <dimension ref="A2:AU83"/>
  <sheetViews>
    <sheetView topLeftCell="F1" zoomScale="91" zoomScaleNormal="98" zoomScaleSheetLayoutView="100" workbookViewId="0">
      <selection activeCell="U7" sqref="U7"/>
    </sheetView>
  </sheetViews>
  <sheetFormatPr defaultColWidth="8.81640625" defaultRowHeight="14.5" x14ac:dyDescent="0.35"/>
  <cols>
    <col min="2" max="2" width="14.08984375" bestFit="1" customWidth="1"/>
    <col min="3" max="6" width="14.08984375" customWidth="1"/>
    <col min="7" max="7" width="16.08984375" bestFit="1" customWidth="1"/>
    <col min="8" max="8" width="9.6328125" bestFit="1" customWidth="1"/>
    <col min="9" max="10" width="13.90625" bestFit="1" customWidth="1"/>
    <col min="11" max="11" width="12.81640625" customWidth="1"/>
    <col min="12" max="12" width="10.453125" bestFit="1" customWidth="1"/>
    <col min="13" max="13" width="15.54296875" bestFit="1" customWidth="1"/>
    <col min="14" max="16" width="15.54296875" customWidth="1"/>
    <col min="17" max="17" width="14.6328125" bestFit="1" customWidth="1"/>
    <col min="18" max="19" width="13.54296875" customWidth="1"/>
    <col min="20" max="20" width="21.08984375" customWidth="1"/>
    <col min="21" max="21" width="16.6328125" customWidth="1"/>
    <col min="22" max="22" width="12.81640625" customWidth="1"/>
    <col min="23" max="23" width="12.1796875" bestFit="1" customWidth="1"/>
    <col min="24" max="24" width="10.81640625" bestFit="1" customWidth="1"/>
    <col min="25" max="25" width="16.08984375" customWidth="1"/>
    <col min="26" max="26" width="13.54296875" customWidth="1"/>
    <col min="27" max="27" width="14.08984375" customWidth="1"/>
    <col min="28" max="31" width="12.81640625" customWidth="1"/>
    <col min="32" max="32" width="17.1796875" customWidth="1"/>
    <col min="33" max="33" width="14.08984375" customWidth="1"/>
    <col min="34" max="34" width="14" customWidth="1"/>
    <col min="37" max="47" width="14.08984375" customWidth="1"/>
  </cols>
  <sheetData>
    <row r="2" spans="1:47" x14ac:dyDescent="0.35">
      <c r="G2" s="269" t="s">
        <v>60</v>
      </c>
      <c r="H2" s="269"/>
      <c r="I2" s="270" t="s">
        <v>25</v>
      </c>
      <c r="J2" s="271"/>
      <c r="K2" s="272"/>
    </row>
    <row r="3" spans="1:47" x14ac:dyDescent="0.35">
      <c r="F3" s="17" t="s">
        <v>61</v>
      </c>
      <c r="G3" s="18">
        <f>4450+100+150</f>
        <v>4700</v>
      </c>
      <c r="H3" s="18">
        <v>100</v>
      </c>
      <c r="I3" s="18">
        <v>5300</v>
      </c>
      <c r="J3" s="18"/>
      <c r="K3" s="18">
        <v>65</v>
      </c>
      <c r="M3" s="19">
        <v>6400</v>
      </c>
      <c r="N3" s="19"/>
      <c r="O3" s="19">
        <f>M3-G3</f>
        <v>1700</v>
      </c>
      <c r="P3" s="19"/>
      <c r="U3" s="20" t="s">
        <v>62</v>
      </c>
      <c r="V3" t="s">
        <v>63</v>
      </c>
      <c r="W3" t="s">
        <v>64</v>
      </c>
    </row>
    <row r="4" spans="1:47" x14ac:dyDescent="0.35">
      <c r="F4" t="s">
        <v>65</v>
      </c>
      <c r="G4" s="21">
        <f>G3*1.05</f>
        <v>4935</v>
      </c>
      <c r="H4" s="21">
        <v>53.033156454391246</v>
      </c>
      <c r="I4" s="21">
        <f>I3*1.05</f>
        <v>5565</v>
      </c>
      <c r="J4" s="21"/>
      <c r="K4" s="21">
        <v>52.350703274330954</v>
      </c>
      <c r="M4" s="19"/>
      <c r="N4" s="19"/>
      <c r="O4" s="19"/>
      <c r="P4" s="19"/>
      <c r="S4" s="17" t="s">
        <v>66</v>
      </c>
      <c r="T4" s="17"/>
      <c r="U4" s="22">
        <v>150</v>
      </c>
      <c r="W4">
        <v>75</v>
      </c>
    </row>
    <row r="5" spans="1:47" x14ac:dyDescent="0.35">
      <c r="F5" t="s">
        <v>67</v>
      </c>
      <c r="G5" s="21">
        <f>G4*1.07</f>
        <v>5280.4500000000007</v>
      </c>
      <c r="H5" s="21">
        <v>53.033156454391246</v>
      </c>
      <c r="I5" s="21">
        <f>I4*1.07</f>
        <v>5954.55</v>
      </c>
      <c r="J5" s="21"/>
      <c r="K5" s="21">
        <v>52.350703274330954</v>
      </c>
      <c r="M5" s="19"/>
      <c r="N5" s="19"/>
      <c r="O5" s="19"/>
      <c r="P5" s="19"/>
      <c r="S5" s="17" t="s">
        <v>68</v>
      </c>
      <c r="T5" s="17"/>
      <c r="U5" s="22">
        <v>150</v>
      </c>
    </row>
    <row r="6" spans="1:47" x14ac:dyDescent="0.35">
      <c r="G6" s="19"/>
      <c r="H6" s="19"/>
      <c r="I6" s="19"/>
      <c r="J6" s="19"/>
      <c r="K6" s="19"/>
      <c r="L6" s="19"/>
      <c r="M6" s="19"/>
      <c r="N6" s="19"/>
      <c r="O6" s="19"/>
      <c r="P6" s="19"/>
      <c r="S6" s="17" t="s">
        <v>69</v>
      </c>
      <c r="T6" s="17"/>
      <c r="U6" s="17">
        <v>275</v>
      </c>
    </row>
    <row r="7" spans="1:47" x14ac:dyDescent="0.35">
      <c r="C7" s="67"/>
      <c r="D7" s="67"/>
      <c r="E7" s="67"/>
      <c r="F7" s="23" t="s">
        <v>70</v>
      </c>
      <c r="G7" s="24">
        <f>AVERAGE(G3:G6)</f>
        <v>4971.8166666666666</v>
      </c>
      <c r="H7" s="24">
        <f>SUM(H3:H6)</f>
        <v>206.06631290878249</v>
      </c>
      <c r="I7" s="24">
        <f>AVERAGE(I3:I6)</f>
        <v>5606.5166666666664</v>
      </c>
      <c r="J7" s="24"/>
      <c r="K7" s="24">
        <f>SUM(K3:K6)</f>
        <v>169.70140654866191</v>
      </c>
      <c r="L7" s="25"/>
      <c r="M7" s="25"/>
      <c r="N7" s="25"/>
      <c r="O7" s="25"/>
      <c r="P7" s="25"/>
      <c r="S7" s="17" t="s">
        <v>71</v>
      </c>
      <c r="T7" s="17"/>
      <c r="U7" s="26">
        <v>0.3</v>
      </c>
    </row>
    <row r="9" spans="1:47" x14ac:dyDescent="0.35">
      <c r="Q9" s="10">
        <f>Q15*0.96</f>
        <v>11294249.470965965</v>
      </c>
    </row>
    <row r="10" spans="1:47" x14ac:dyDescent="0.35">
      <c r="G10" s="27"/>
      <c r="M10" s="12"/>
      <c r="N10" s="12"/>
      <c r="O10" s="12"/>
      <c r="P10" s="12"/>
      <c r="Q10" s="12"/>
      <c r="R10" s="12"/>
      <c r="S10" s="12"/>
      <c r="T10" s="12"/>
    </row>
    <row r="11" spans="1:47" ht="15" thickBot="1" x14ac:dyDescent="0.4"/>
    <row r="12" spans="1:47" ht="15" thickBot="1" x14ac:dyDescent="0.4">
      <c r="G12" s="273" t="s">
        <v>61</v>
      </c>
      <c r="H12" s="274"/>
      <c r="I12" s="275"/>
      <c r="J12" s="275"/>
      <c r="K12" s="275"/>
      <c r="L12" s="275"/>
      <c r="M12" s="275"/>
      <c r="N12" s="275"/>
      <c r="O12" s="275"/>
      <c r="P12" s="275"/>
      <c r="Q12" s="275"/>
      <c r="R12" s="275"/>
      <c r="S12" s="275"/>
      <c r="T12" s="275"/>
      <c r="U12" s="276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J12" s="277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9"/>
    </row>
    <row r="13" spans="1:47" x14ac:dyDescent="0.35">
      <c r="E13" s="184" t="s">
        <v>133</v>
      </c>
      <c r="F13" s="184" t="s">
        <v>134</v>
      </c>
      <c r="G13" s="28"/>
      <c r="H13" s="280" t="s">
        <v>72</v>
      </c>
      <c r="I13" s="281"/>
      <c r="J13" s="232"/>
      <c r="K13" s="266" t="s">
        <v>73</v>
      </c>
      <c r="L13" s="267"/>
      <c r="M13" s="268"/>
      <c r="N13" s="214"/>
      <c r="O13" s="266" t="s">
        <v>74</v>
      </c>
      <c r="P13" s="267"/>
      <c r="Q13" s="268"/>
      <c r="R13" s="266" t="s">
        <v>74</v>
      </c>
      <c r="S13" s="267"/>
      <c r="T13" s="268"/>
      <c r="U13" s="29"/>
      <c r="W13" s="181"/>
      <c r="X13" s="181"/>
      <c r="Y13" s="265"/>
      <c r="Z13" s="265"/>
      <c r="AA13" s="265"/>
      <c r="AB13" s="265"/>
      <c r="AC13" s="265"/>
      <c r="AD13" s="265"/>
      <c r="AE13" s="265"/>
      <c r="AF13" s="265"/>
      <c r="AG13" s="265"/>
      <c r="AH13" s="181"/>
      <c r="AJ13" s="28"/>
      <c r="AK13" s="175"/>
      <c r="AL13" s="266"/>
      <c r="AM13" s="267"/>
      <c r="AN13" s="268"/>
      <c r="AO13" s="266"/>
      <c r="AP13" s="267"/>
      <c r="AQ13" s="268"/>
      <c r="AR13" s="266"/>
      <c r="AS13" s="267"/>
      <c r="AT13" s="268"/>
      <c r="AU13" s="176"/>
    </row>
    <row r="14" spans="1:47" x14ac:dyDescent="0.35">
      <c r="C14" s="63" t="s">
        <v>17</v>
      </c>
      <c r="D14" s="63" t="s">
        <v>25</v>
      </c>
      <c r="E14" s="63" t="s">
        <v>18</v>
      </c>
      <c r="F14" s="63" t="s">
        <v>18</v>
      </c>
      <c r="G14" s="30" t="s">
        <v>4</v>
      </c>
      <c r="H14" s="31" t="s">
        <v>25</v>
      </c>
      <c r="I14" s="31" t="s">
        <v>311</v>
      </c>
      <c r="J14" s="31" t="s">
        <v>312</v>
      </c>
      <c r="K14" s="32" t="s">
        <v>14</v>
      </c>
      <c r="L14" s="33" t="s">
        <v>75</v>
      </c>
      <c r="M14" s="34" t="s">
        <v>16</v>
      </c>
      <c r="N14" s="262"/>
      <c r="O14" s="32" t="s">
        <v>14</v>
      </c>
      <c r="P14" s="33" t="s">
        <v>75</v>
      </c>
      <c r="Q14" s="34" t="s">
        <v>16</v>
      </c>
      <c r="R14" s="32" t="s">
        <v>14</v>
      </c>
      <c r="S14" s="33" t="s">
        <v>75</v>
      </c>
      <c r="T14" s="34" t="s">
        <v>16</v>
      </c>
      <c r="U14" s="35" t="s">
        <v>76</v>
      </c>
      <c r="W14" s="68"/>
      <c r="X14" s="62"/>
      <c r="Y14" s="62"/>
      <c r="Z14" s="62"/>
      <c r="AA14" s="68"/>
      <c r="AB14" s="62"/>
      <c r="AC14" s="62"/>
      <c r="AD14" s="68"/>
      <c r="AE14" s="62"/>
      <c r="AF14" s="62"/>
      <c r="AG14" s="68"/>
      <c r="AH14" s="182"/>
      <c r="AJ14" s="30"/>
      <c r="AK14" s="31"/>
      <c r="AL14" s="32"/>
      <c r="AM14" s="33"/>
      <c r="AN14" s="34"/>
      <c r="AO14" s="32"/>
      <c r="AP14" s="33"/>
      <c r="AQ14" s="34"/>
      <c r="AR14" s="32"/>
      <c r="AS14" s="33"/>
      <c r="AT14" s="34"/>
      <c r="AU14" s="35"/>
    </row>
    <row r="15" spans="1:47" x14ac:dyDescent="0.35">
      <c r="C15" s="185" t="s">
        <v>135</v>
      </c>
      <c r="D15" s="17">
        <v>301</v>
      </c>
      <c r="E15" s="17">
        <v>302</v>
      </c>
      <c r="F15" s="17">
        <v>303</v>
      </c>
      <c r="G15" s="36">
        <v>3</v>
      </c>
      <c r="H15" s="243">
        <v>4350</v>
      </c>
      <c r="I15" s="238">
        <v>4350</v>
      </c>
      <c r="J15" s="238">
        <v>4350</v>
      </c>
      <c r="K15" s="239">
        <f>IFERROR(H15*'Muraba Veil Sale Summary'!$F$8,0)</f>
        <v>12530305.7703264</v>
      </c>
      <c r="L15" s="240">
        <f>IFERROR(H15*$U$7*'Muraba Veil Sale Summary'!$G$8,0)</f>
        <v>2686891.6196121601</v>
      </c>
      <c r="M15" s="237">
        <f>L15+K15</f>
        <v>15217197.389938559</v>
      </c>
      <c r="N15" s="242"/>
      <c r="O15" s="235">
        <f>IFERROR(I15*'Muraba Veil Sale Summary'!$F$6,0)</f>
        <v>9651627.1007711999</v>
      </c>
      <c r="P15" s="236">
        <f>IFERROR($U$7*'Muraba Veil Sale Summary'!$G$6*I15,0)</f>
        <v>2113216.0981516801</v>
      </c>
      <c r="Q15" s="237">
        <f>O15+P15</f>
        <v>11764843.19892288</v>
      </c>
      <c r="R15" s="241">
        <f>J15*'Muraba Veil Sale Summary'!$F$6</f>
        <v>9651627.1007711999</v>
      </c>
      <c r="S15" s="94">
        <f>J15*$U$7*'Muraba Veil Sale Summary'!$G$6</f>
        <v>2113216.0981516801</v>
      </c>
      <c r="T15" s="237">
        <f>R15+S15</f>
        <v>11764843.19892288</v>
      </c>
      <c r="U15" s="43">
        <f>M15+Q15+T15</f>
        <v>38746883.787784323</v>
      </c>
      <c r="V15" s="12"/>
      <c r="W15" s="12">
        <f>T15-Q15</f>
        <v>0</v>
      </c>
      <c r="X15" s="183"/>
      <c r="Y15" s="183"/>
      <c r="Z15" s="183"/>
      <c r="AA15" s="12"/>
      <c r="AB15" s="12"/>
      <c r="AC15" s="12"/>
      <c r="AD15" s="12"/>
      <c r="AE15" s="12"/>
      <c r="AF15" s="12"/>
      <c r="AG15" s="12"/>
      <c r="AH15" s="25"/>
      <c r="AJ15" s="36"/>
      <c r="AK15" s="177"/>
      <c r="AL15" s="37"/>
      <c r="AM15" s="38"/>
      <c r="AN15" s="39"/>
      <c r="AO15" s="36"/>
      <c r="AP15" s="40"/>
      <c r="AQ15" s="39"/>
      <c r="AR15" s="41"/>
      <c r="AS15" s="42"/>
      <c r="AT15" s="39"/>
      <c r="AU15" s="43"/>
    </row>
    <row r="16" spans="1:47" x14ac:dyDescent="0.35">
      <c r="A16" s="12">
        <f>J16-J15</f>
        <v>99.99986525899385</v>
      </c>
      <c r="C16" s="185" t="s">
        <v>135</v>
      </c>
      <c r="D16" s="17">
        <f>+D15+100</f>
        <v>401</v>
      </c>
      <c r="E16" s="245">
        <f t="shared" ref="E16:F16" si="0">+E15+100</f>
        <v>402</v>
      </c>
      <c r="F16" s="17">
        <f t="shared" si="0"/>
        <v>403</v>
      </c>
      <c r="G16" s="36">
        <f>G15+1</f>
        <v>4</v>
      </c>
      <c r="H16" s="94">
        <v>4650</v>
      </c>
      <c r="I16" s="44">
        <v>4227.4998535087598</v>
      </c>
      <c r="J16" s="242">
        <v>4449.9998652589939</v>
      </c>
      <c r="K16" s="239">
        <f>IFERROR(H16*'Muraba Veil Sale Summary'!$F$8,0)</f>
        <v>13394464.788969601</v>
      </c>
      <c r="L16" s="240">
        <f>IFERROR(H16*$U$7*'Muraba Veil Sale Summary'!$G$8,0)</f>
        <v>2872194.48993024</v>
      </c>
      <c r="M16" s="237">
        <f t="shared" ref="M16:M41" si="1">L16+K16</f>
        <v>16266659.278899841</v>
      </c>
      <c r="N16" s="242"/>
      <c r="O16" s="246">
        <f>IFERROR(I16*'Muraba Veil Sale Summary'!$F$6,0)</f>
        <v>9379828.0815244652</v>
      </c>
      <c r="P16" s="247">
        <f>IFERROR($U$7*'Muraba Veil Sale Summary'!$G$6*I16,0)</f>
        <v>2053705.9184755355</v>
      </c>
      <c r="Q16" s="248">
        <f t="shared" ref="Q16:Q40" si="2">O16+P16</f>
        <v>11433534</v>
      </c>
      <c r="R16" s="241">
        <f>J16*'Muraba Veil Sale Summary'!$F$6</f>
        <v>9873503.286887791</v>
      </c>
      <c r="S16" s="94">
        <f>J16*$U$7*'Muraba Veil Sale Summary'!$G$6</f>
        <v>2161795.7131122099</v>
      </c>
      <c r="T16" s="237">
        <f t="shared" ref="T16:T71" si="3">R16+S16</f>
        <v>12035299</v>
      </c>
      <c r="U16" s="43">
        <f t="shared" ref="U16:U40" si="4">M16+Q16+T16</f>
        <v>39735492.278899841</v>
      </c>
      <c r="V16" s="12"/>
      <c r="W16" s="12">
        <f t="shared" ref="W16:W66" si="5">T16-Q16</f>
        <v>601765</v>
      </c>
      <c r="X16" s="12"/>
      <c r="Y16" s="183"/>
      <c r="Z16" s="183"/>
      <c r="AA16" s="12"/>
      <c r="AB16" s="12"/>
      <c r="AC16" s="12"/>
      <c r="AD16" s="12"/>
      <c r="AE16" s="12"/>
      <c r="AF16" s="12"/>
      <c r="AG16" s="12"/>
      <c r="AH16" s="25"/>
      <c r="AJ16" s="36"/>
      <c r="AK16" s="42"/>
      <c r="AL16" s="37"/>
      <c r="AM16" s="38"/>
      <c r="AN16" s="39"/>
      <c r="AO16" s="36"/>
      <c r="AP16" s="40"/>
      <c r="AQ16" s="39"/>
      <c r="AR16" s="41"/>
      <c r="AS16" s="42"/>
      <c r="AT16" s="39"/>
      <c r="AU16" s="43"/>
    </row>
    <row r="17" spans="1:47" x14ac:dyDescent="0.35">
      <c r="A17" s="12">
        <f t="shared" ref="A17:A71" si="6">J17-J16</f>
        <v>100.0003085555536</v>
      </c>
      <c r="C17" s="185" t="s">
        <v>135</v>
      </c>
      <c r="D17" s="17">
        <f t="shared" ref="D17:D41" si="7">+D16+100</f>
        <v>501</v>
      </c>
      <c r="E17" s="17">
        <f t="shared" ref="E17:E41" si="8">+E16+100</f>
        <v>502</v>
      </c>
      <c r="F17">
        <f t="shared" ref="F17:F41" si="9">+F16+100</f>
        <v>503</v>
      </c>
      <c r="G17" s="36">
        <f t="shared" ref="G17:G40" si="10">G16+1</f>
        <v>5</v>
      </c>
      <c r="H17" s="94">
        <v>4550</v>
      </c>
      <c r="I17" s="242">
        <v>4550.0001738145475</v>
      </c>
      <c r="J17" s="44">
        <v>4550.0001738145475</v>
      </c>
      <c r="K17" s="239">
        <f>IFERROR(H17*'Muraba Veil Sale Summary'!$F$8,0)</f>
        <v>13106411.7827552</v>
      </c>
      <c r="L17" s="240">
        <f>IFERROR(H17*$U$7*'Muraba Veil Sale Summary'!$G$8,0)</f>
        <v>2810426.86649088</v>
      </c>
      <c r="M17" s="237">
        <f t="shared" si="1"/>
        <v>15916838.64924608</v>
      </c>
      <c r="N17" s="242"/>
      <c r="O17" s="235">
        <f>IFERROR(I17*'Muraba Veil Sale Summary'!$F$6,0)</f>
        <v>10095380.456575207</v>
      </c>
      <c r="P17" s="236">
        <f>IFERROR($U$7*'Muraba Veil Sale Summary'!$G$6*I17,0)</f>
        <v>2210375.5434247917</v>
      </c>
      <c r="Q17" s="237">
        <f t="shared" si="2"/>
        <v>12305756</v>
      </c>
      <c r="R17" s="41">
        <f>J17*'Muraba Veil Sale Summary'!$F$6</f>
        <v>10095380.456575207</v>
      </c>
      <c r="S17" s="42">
        <f>J17*$U$7*'Muraba Veil Sale Summary'!$G$6</f>
        <v>2210375.5434247917</v>
      </c>
      <c r="T17" s="39">
        <f t="shared" si="3"/>
        <v>12305756</v>
      </c>
      <c r="U17" s="43">
        <f t="shared" si="4"/>
        <v>40528350.649246082</v>
      </c>
      <c r="V17" s="12"/>
      <c r="W17" s="12">
        <f t="shared" si="5"/>
        <v>0</v>
      </c>
      <c r="X17" s="12"/>
      <c r="Y17" s="183"/>
      <c r="Z17" s="183"/>
      <c r="AA17" s="12"/>
      <c r="AB17" s="12"/>
      <c r="AC17" s="12"/>
      <c r="AD17" s="12"/>
      <c r="AE17" s="12"/>
      <c r="AF17" s="12"/>
      <c r="AG17" s="12"/>
      <c r="AH17" s="25"/>
      <c r="AJ17" s="36"/>
      <c r="AK17" s="42"/>
      <c r="AL17" s="37"/>
      <c r="AM17" s="38"/>
      <c r="AN17" s="39"/>
      <c r="AO17" s="36"/>
      <c r="AP17" s="40"/>
      <c r="AQ17" s="39"/>
      <c r="AR17" s="41"/>
      <c r="AS17" s="42"/>
      <c r="AT17" s="39"/>
      <c r="AU17" s="43"/>
    </row>
    <row r="18" spans="1:47" x14ac:dyDescent="0.35">
      <c r="A18" s="12">
        <f t="shared" si="6"/>
        <v>499.99982618545255</v>
      </c>
      <c r="C18" s="185" t="s">
        <v>135</v>
      </c>
      <c r="D18" s="17">
        <f t="shared" si="7"/>
        <v>601</v>
      </c>
      <c r="E18">
        <f t="shared" si="8"/>
        <v>602</v>
      </c>
      <c r="F18" s="17">
        <f t="shared" si="9"/>
        <v>603</v>
      </c>
      <c r="G18" s="36">
        <f t="shared" si="10"/>
        <v>6</v>
      </c>
      <c r="H18" s="94">
        <v>4850</v>
      </c>
      <c r="I18" s="44">
        <v>5150</v>
      </c>
      <c r="J18" s="242">
        <v>5050</v>
      </c>
      <c r="K18" s="239">
        <f>IFERROR(H18*'Muraba Veil Sale Summary'!$F$8,0)</f>
        <v>13970570.8013984</v>
      </c>
      <c r="L18" s="240">
        <f>IFERROR(H18*$U$7*'Muraba Veil Sale Summary'!$G$8,0)</f>
        <v>2995729.7368089603</v>
      </c>
      <c r="M18" s="237">
        <f t="shared" si="1"/>
        <v>16966300.53820736</v>
      </c>
      <c r="N18" s="242"/>
      <c r="O18" s="36">
        <f>IFERROR(I18*'Muraba Veil Sale Summary'!$F$6,0)</f>
        <v>11426638.9813728</v>
      </c>
      <c r="P18" s="40">
        <f>IFERROR($U$7*'Muraba Veil Sale Summary'!$G$6*I18,0)</f>
        <v>2501853.5414899196</v>
      </c>
      <c r="Q18" s="39">
        <f t="shared" si="2"/>
        <v>13928492.522862719</v>
      </c>
      <c r="R18" s="241">
        <f>J18*'Muraba Veil Sale Summary'!$F$6</f>
        <v>11204762.4962976</v>
      </c>
      <c r="S18" s="94">
        <f>J18*$U$7*'Muraba Veil Sale Summary'!$G$6</f>
        <v>2453273.8610726399</v>
      </c>
      <c r="T18" s="237">
        <f t="shared" si="3"/>
        <v>13658036.357370239</v>
      </c>
      <c r="U18" s="43">
        <f t="shared" si="4"/>
        <v>44552829.418440312</v>
      </c>
      <c r="V18" s="12"/>
      <c r="W18" s="12">
        <f t="shared" si="5"/>
        <v>-270456.16549248062</v>
      </c>
      <c r="X18" s="12"/>
      <c r="Y18" s="183"/>
      <c r="Z18" s="183"/>
      <c r="AA18" s="12"/>
      <c r="AB18" s="12"/>
      <c r="AC18" s="12"/>
      <c r="AD18" s="12"/>
      <c r="AE18" s="12"/>
      <c r="AF18" s="12"/>
      <c r="AG18" s="12"/>
      <c r="AH18" s="25"/>
      <c r="AJ18" s="36"/>
      <c r="AK18" s="42"/>
      <c r="AL18" s="37"/>
      <c r="AM18" s="38"/>
      <c r="AN18" s="39"/>
      <c r="AO18" s="36"/>
      <c r="AP18" s="40"/>
      <c r="AQ18" s="39"/>
      <c r="AR18" s="41"/>
      <c r="AS18" s="42"/>
      <c r="AT18" s="39"/>
      <c r="AU18" s="43"/>
    </row>
    <row r="19" spans="1:47" x14ac:dyDescent="0.35">
      <c r="A19" s="12">
        <f t="shared" si="6"/>
        <v>-300</v>
      </c>
      <c r="C19" s="185" t="s">
        <v>135</v>
      </c>
      <c r="D19" s="17">
        <f t="shared" si="7"/>
        <v>701</v>
      </c>
      <c r="E19" s="17">
        <f t="shared" si="8"/>
        <v>702</v>
      </c>
      <c r="F19">
        <f t="shared" si="9"/>
        <v>703</v>
      </c>
      <c r="G19" s="36">
        <f t="shared" si="10"/>
        <v>7</v>
      </c>
      <c r="H19" s="94">
        <v>4850</v>
      </c>
      <c r="I19" s="242">
        <v>4750</v>
      </c>
      <c r="J19" s="44">
        <v>4750</v>
      </c>
      <c r="K19" s="239">
        <f>IFERROR(H19*'Muraba Veil Sale Summary'!$F$8,0)</f>
        <v>13970570.8013984</v>
      </c>
      <c r="L19" s="240">
        <f>IFERROR(H19*$U$7*'Muraba Veil Sale Summary'!$G$8,0)</f>
        <v>2995729.7368089603</v>
      </c>
      <c r="M19" s="237">
        <f t="shared" si="1"/>
        <v>16966300.53820736</v>
      </c>
      <c r="N19" s="242"/>
      <c r="O19" s="235">
        <f>IFERROR(I19*'Muraba Veil Sale Summary'!$F$6,0)</f>
        <v>10539133.041072</v>
      </c>
      <c r="P19" s="236">
        <f>IFERROR($U$7*'Muraba Veil Sale Summary'!$G$6*I19,0)</f>
        <v>2307534.8198207999</v>
      </c>
      <c r="Q19" s="237">
        <f t="shared" si="2"/>
        <v>12846667.860892799</v>
      </c>
      <c r="R19" s="41">
        <f>J19*'Muraba Veil Sale Summary'!$F$6</f>
        <v>10539133.041072</v>
      </c>
      <c r="S19" s="42">
        <f>J19*$U$7*'Muraba Veil Sale Summary'!$G$6</f>
        <v>2307534.8198207999</v>
      </c>
      <c r="T19" s="39">
        <f t="shared" si="3"/>
        <v>12846667.860892799</v>
      </c>
      <c r="U19" s="43">
        <f t="shared" si="4"/>
        <v>42659636.259992957</v>
      </c>
      <c r="V19" s="12"/>
      <c r="W19" s="12">
        <f t="shared" si="5"/>
        <v>0</v>
      </c>
      <c r="X19" s="12"/>
      <c r="Y19" s="183"/>
      <c r="Z19" s="183"/>
      <c r="AA19" s="12"/>
      <c r="AB19" s="12"/>
      <c r="AC19" s="12"/>
      <c r="AD19" s="12"/>
      <c r="AE19" s="12"/>
      <c r="AF19" s="12"/>
      <c r="AG19" s="12"/>
      <c r="AH19" s="25"/>
      <c r="AJ19" s="36"/>
      <c r="AK19" s="42"/>
      <c r="AL19" s="37"/>
      <c r="AM19" s="38"/>
      <c r="AN19" s="39"/>
      <c r="AO19" s="36"/>
      <c r="AP19" s="40"/>
      <c r="AQ19" s="39"/>
      <c r="AR19" s="41"/>
      <c r="AS19" s="42"/>
      <c r="AT19" s="39"/>
      <c r="AU19" s="43"/>
    </row>
    <row r="20" spans="1:47" x14ac:dyDescent="0.35">
      <c r="A20" s="12">
        <f t="shared" si="6"/>
        <v>51.571847981740575</v>
      </c>
      <c r="C20" s="185" t="s">
        <v>135</v>
      </c>
      <c r="D20" s="17">
        <f t="shared" si="7"/>
        <v>801</v>
      </c>
      <c r="E20" s="17">
        <f t="shared" si="8"/>
        <v>802</v>
      </c>
      <c r="F20" s="17">
        <f t="shared" si="9"/>
        <v>803</v>
      </c>
      <c r="G20" s="36">
        <f t="shared" si="10"/>
        <v>8</v>
      </c>
      <c r="H20" s="94">
        <v>4902.2992285680366</v>
      </c>
      <c r="I20" s="242">
        <v>4801.5718479817406</v>
      </c>
      <c r="J20" s="242">
        <v>4801.5718479817406</v>
      </c>
      <c r="K20" s="239">
        <f>IFERROR(H20*'Muraba Veil Sale Summary'!$F$8,0)</f>
        <v>14121220.30151557</v>
      </c>
      <c r="L20" s="240">
        <f>IFERROR(H20*$U$7*'Muraba Veil Sale Summary'!$G$8,0)</f>
        <v>3028033.7273725551</v>
      </c>
      <c r="M20" s="237">
        <f t="shared" si="1"/>
        <v>17149254.028888125</v>
      </c>
      <c r="N20" s="242"/>
      <c r="O20" s="235">
        <f>IFERROR(I20*'Muraba Veil Sale Summary'!$F$6,0)</f>
        <v>10653558.84466221</v>
      </c>
      <c r="P20" s="236">
        <f>IFERROR($U$7*'Muraba Veil Sale Summary'!$G$6*I20,0)</f>
        <v>2332588.258755615</v>
      </c>
      <c r="Q20" s="237">
        <f t="shared" si="2"/>
        <v>12986147.103417825</v>
      </c>
      <c r="R20" s="241">
        <f>J20*'Muraba Veil Sale Summary'!$F$6</f>
        <v>10653558.84466221</v>
      </c>
      <c r="S20" s="94">
        <f>J20*$U$7*'Muraba Veil Sale Summary'!$G$6</f>
        <v>2332588.258755615</v>
      </c>
      <c r="T20" s="237">
        <f t="shared" si="3"/>
        <v>12986147.103417825</v>
      </c>
      <c r="U20" s="43">
        <f t="shared" si="4"/>
        <v>43121548.235723779</v>
      </c>
      <c r="V20" s="12"/>
      <c r="W20" s="12">
        <f t="shared" si="5"/>
        <v>0</v>
      </c>
      <c r="X20" s="12"/>
      <c r="Y20" s="183"/>
      <c r="Z20" s="183"/>
      <c r="AA20" s="12"/>
      <c r="AB20" s="12"/>
      <c r="AC20" s="12"/>
      <c r="AD20" s="12"/>
      <c r="AE20" s="12"/>
      <c r="AF20" s="12"/>
      <c r="AG20" s="12"/>
      <c r="AH20" s="25"/>
      <c r="AJ20" s="36"/>
      <c r="AK20" s="42"/>
      <c r="AL20" s="37"/>
      <c r="AM20" s="38"/>
      <c r="AN20" s="39"/>
      <c r="AO20" s="36"/>
      <c r="AP20" s="40"/>
      <c r="AQ20" s="39"/>
      <c r="AR20" s="41"/>
      <c r="AS20" s="42"/>
      <c r="AT20" s="39"/>
      <c r="AU20" s="43"/>
    </row>
    <row r="21" spans="1:47" x14ac:dyDescent="0.35">
      <c r="A21" s="12">
        <f t="shared" si="6"/>
        <v>798.42815201825942</v>
      </c>
      <c r="C21" s="185" t="s">
        <v>135</v>
      </c>
      <c r="D21" s="17">
        <f t="shared" si="7"/>
        <v>901</v>
      </c>
      <c r="E21">
        <f t="shared" si="8"/>
        <v>902</v>
      </c>
      <c r="F21">
        <f t="shared" si="9"/>
        <v>903</v>
      </c>
      <c r="G21" s="36">
        <f t="shared" si="10"/>
        <v>9</v>
      </c>
      <c r="H21" s="94">
        <v>4950</v>
      </c>
      <c r="I21" s="44">
        <v>5600</v>
      </c>
      <c r="J21" s="44">
        <v>5600</v>
      </c>
      <c r="K21" s="239">
        <f>IFERROR(H21*'Muraba Veil Sale Summary'!$F$8,0)</f>
        <v>14258623.807612801</v>
      </c>
      <c r="L21" s="240">
        <f>IFERROR(H21*$U$7*'Muraba Veil Sale Summary'!$G$8,0)</f>
        <v>3057497.3602483203</v>
      </c>
      <c r="M21" s="237">
        <f t="shared" si="1"/>
        <v>17316121.167861123</v>
      </c>
      <c r="N21" s="242"/>
      <c r="O21" s="36">
        <f>IFERROR(I21*'Muraba Veil Sale Summary'!$F$6,0)</f>
        <v>12425083.164211199</v>
      </c>
      <c r="P21" s="40">
        <f>IFERROR($U$7*'Muraba Veil Sale Summary'!$G$6*I21,0)</f>
        <v>2720462.1033676798</v>
      </c>
      <c r="Q21" s="39">
        <f t="shared" si="2"/>
        <v>15145545.267578878</v>
      </c>
      <c r="R21" s="41">
        <f>J21*'Muraba Veil Sale Summary'!$F$6</f>
        <v>12425083.164211199</v>
      </c>
      <c r="S21" s="42">
        <f>J21*$U$7*'Muraba Veil Sale Summary'!$G$6</f>
        <v>2720462.1033676802</v>
      </c>
      <c r="T21" s="39">
        <f t="shared" si="3"/>
        <v>15145545.267578879</v>
      </c>
      <c r="U21" s="43">
        <f t="shared" si="4"/>
        <v>47607211.703018881</v>
      </c>
      <c r="V21" s="12"/>
      <c r="W21" s="12">
        <f t="shared" si="5"/>
        <v>0</v>
      </c>
      <c r="X21" s="12"/>
      <c r="Y21" s="183"/>
      <c r="Z21" s="183"/>
      <c r="AA21" s="12"/>
      <c r="AB21" s="12"/>
      <c r="AC21" s="12"/>
      <c r="AD21" s="12"/>
      <c r="AE21" s="12"/>
      <c r="AF21" s="12"/>
      <c r="AG21" s="12"/>
      <c r="AH21" s="25"/>
      <c r="AJ21" s="36"/>
      <c r="AK21" s="42"/>
      <c r="AL21" s="37"/>
      <c r="AM21" s="38"/>
      <c r="AN21" s="39"/>
      <c r="AO21" s="36"/>
      <c r="AP21" s="40"/>
      <c r="AQ21" s="39"/>
      <c r="AR21" s="41"/>
      <c r="AS21" s="42"/>
      <c r="AT21" s="39"/>
      <c r="AU21" s="43"/>
    </row>
    <row r="22" spans="1:47" x14ac:dyDescent="0.35">
      <c r="A22" s="12">
        <f t="shared" si="6"/>
        <v>-550</v>
      </c>
      <c r="C22" s="185" t="s">
        <v>135</v>
      </c>
      <c r="D22" s="17">
        <f>D21+200</f>
        <v>1101</v>
      </c>
      <c r="E22" s="17">
        <f t="shared" ref="E22:F22" si="11">E21+200</f>
        <v>1102</v>
      </c>
      <c r="F22">
        <f t="shared" si="11"/>
        <v>1103</v>
      </c>
      <c r="G22" s="36">
        <v>11</v>
      </c>
      <c r="H22" s="94">
        <v>5350</v>
      </c>
      <c r="I22" s="242">
        <v>5050</v>
      </c>
      <c r="J22" s="44">
        <v>5050</v>
      </c>
      <c r="K22" s="239">
        <f>IFERROR(H22*'Muraba Veil Sale Summary'!$F$8,0)</f>
        <v>15410835.8324704</v>
      </c>
      <c r="L22" s="240">
        <f>IFERROR(H22*$U$7*'Muraba Veil Sale Summary'!$G$8,0)</f>
        <v>3304567.85400576</v>
      </c>
      <c r="M22" s="237">
        <f t="shared" si="1"/>
        <v>18715403.68647616</v>
      </c>
      <c r="N22" s="242"/>
      <c r="O22" s="235">
        <f>IFERROR(I22*'Muraba Veil Sale Summary'!$F$6,0)</f>
        <v>11204762.4962976</v>
      </c>
      <c r="P22" s="236">
        <f>IFERROR($U$7*'Muraba Veil Sale Summary'!$G$6*I22,0)</f>
        <v>2453273.8610726399</v>
      </c>
      <c r="Q22" s="237">
        <f t="shared" si="2"/>
        <v>13658036.357370239</v>
      </c>
      <c r="R22" s="41">
        <f>J22*'Muraba Veil Sale Summary'!$F$6</f>
        <v>11204762.4962976</v>
      </c>
      <c r="S22" s="42">
        <f>J22*$U$7*'Muraba Veil Sale Summary'!$G$6</f>
        <v>2453273.8610726399</v>
      </c>
      <c r="T22" s="39">
        <f t="shared" si="3"/>
        <v>13658036.357370239</v>
      </c>
      <c r="U22" s="43">
        <f t="shared" si="4"/>
        <v>46031476.401216641</v>
      </c>
      <c r="V22" s="12"/>
      <c r="W22" s="12">
        <f t="shared" si="5"/>
        <v>0</v>
      </c>
      <c r="X22" s="12"/>
      <c r="Y22" s="183"/>
      <c r="Z22" s="183"/>
      <c r="AA22" s="12"/>
      <c r="AB22" s="12"/>
      <c r="AC22" s="12"/>
      <c r="AD22" s="12"/>
      <c r="AE22" s="12"/>
      <c r="AF22" s="12"/>
      <c r="AG22" s="12"/>
      <c r="AH22" s="25"/>
      <c r="AJ22" s="36"/>
      <c r="AK22" s="42"/>
      <c r="AL22" s="37"/>
      <c r="AM22" s="38"/>
      <c r="AN22" s="39"/>
      <c r="AO22" s="36"/>
      <c r="AP22" s="40"/>
      <c r="AQ22" s="39"/>
      <c r="AR22" s="41"/>
      <c r="AS22" s="42"/>
      <c r="AT22" s="39"/>
      <c r="AU22" s="43"/>
    </row>
    <row r="23" spans="1:47" x14ac:dyDescent="0.35">
      <c r="A23" s="12">
        <f t="shared" si="6"/>
        <v>850</v>
      </c>
      <c r="C23" s="185" t="s">
        <v>135</v>
      </c>
      <c r="D23" s="17">
        <f t="shared" si="7"/>
        <v>1201</v>
      </c>
      <c r="E23">
        <f t="shared" si="8"/>
        <v>1202</v>
      </c>
      <c r="F23">
        <f t="shared" si="9"/>
        <v>1203</v>
      </c>
      <c r="G23" s="36">
        <f t="shared" si="10"/>
        <v>12</v>
      </c>
      <c r="H23" s="94">
        <v>5150.0000000000009</v>
      </c>
      <c r="I23" s="44">
        <v>5900</v>
      </c>
      <c r="J23" s="44">
        <v>5900</v>
      </c>
      <c r="K23" s="239">
        <f>IFERROR(H23*'Muraba Veil Sale Summary'!$F$8,0)</f>
        <v>14834729.820041602</v>
      </c>
      <c r="L23" s="240">
        <f>IFERROR(H23*$U$7*'Muraba Veil Sale Summary'!$G$8,0)</f>
        <v>3181032.6071270406</v>
      </c>
      <c r="M23" s="237">
        <f t="shared" si="1"/>
        <v>18015762.427168645</v>
      </c>
      <c r="N23" s="242"/>
      <c r="O23" s="36">
        <f>IFERROR(I23*'Muraba Veil Sale Summary'!$F$6,0)</f>
        <v>13090712.619436799</v>
      </c>
      <c r="P23" s="40">
        <f>IFERROR($U$7*'Muraba Veil Sale Summary'!$G$6*I23,0)</f>
        <v>2866201.1446195198</v>
      </c>
      <c r="Q23" s="39">
        <f t="shared" si="2"/>
        <v>15956913.764056318</v>
      </c>
      <c r="R23" s="41">
        <f>J23*'Muraba Veil Sale Summary'!$F$6</f>
        <v>13090712.619436799</v>
      </c>
      <c r="S23" s="42">
        <f>J23*$U$7*'Muraba Veil Sale Summary'!$G$6</f>
        <v>2866201.1446195203</v>
      </c>
      <c r="T23" s="39">
        <f t="shared" si="3"/>
        <v>15956913.764056319</v>
      </c>
      <c r="U23" s="43">
        <f t="shared" si="4"/>
        <v>49929589.95528128</v>
      </c>
      <c r="V23" s="12"/>
      <c r="W23" s="12">
        <f t="shared" si="5"/>
        <v>0</v>
      </c>
      <c r="X23" s="12"/>
      <c r="Y23" s="183"/>
      <c r="Z23" s="183"/>
      <c r="AA23" s="12"/>
      <c r="AB23" s="12"/>
      <c r="AC23" s="12"/>
      <c r="AD23" s="12"/>
      <c r="AE23" s="12"/>
      <c r="AF23" s="12"/>
      <c r="AG23" s="12"/>
      <c r="AH23" s="25"/>
      <c r="AJ23" s="36"/>
      <c r="AK23" s="42"/>
      <c r="AL23" s="37"/>
      <c r="AM23" s="38"/>
      <c r="AN23" s="39"/>
      <c r="AO23" s="36"/>
      <c r="AP23" s="40"/>
      <c r="AQ23" s="39"/>
      <c r="AR23" s="41"/>
      <c r="AS23" s="42"/>
      <c r="AT23" s="39"/>
      <c r="AU23" s="43"/>
    </row>
    <row r="24" spans="1:47" x14ac:dyDescent="0.35">
      <c r="A24" s="12">
        <f t="shared" si="6"/>
        <v>150</v>
      </c>
      <c r="C24" s="185" t="s">
        <v>135</v>
      </c>
      <c r="D24">
        <f t="shared" si="7"/>
        <v>1301</v>
      </c>
      <c r="E24">
        <f t="shared" si="8"/>
        <v>1302</v>
      </c>
      <c r="F24">
        <f t="shared" si="9"/>
        <v>1303</v>
      </c>
      <c r="G24" s="36">
        <f t="shared" si="10"/>
        <v>13</v>
      </c>
      <c r="H24" s="42">
        <v>5700.0000000000009</v>
      </c>
      <c r="I24" s="44">
        <v>6050</v>
      </c>
      <c r="J24" s="44">
        <v>6050</v>
      </c>
      <c r="K24" s="37">
        <f>IFERROR(H24*'Muraba Veil Sale Summary'!$F$8,0)</f>
        <v>16419021.354220804</v>
      </c>
      <c r="L24" s="38">
        <f>IFERROR(H24*$U$7*'Muraba Veil Sale Summary'!$G$8,0)</f>
        <v>3520754.5360435206</v>
      </c>
      <c r="M24" s="39">
        <f t="shared" si="1"/>
        <v>19939775.890264325</v>
      </c>
      <c r="N24" s="44"/>
      <c r="O24" s="36">
        <f>IFERROR(I24*'Muraba Veil Sale Summary'!$F$6,0)</f>
        <v>13423527.3470496</v>
      </c>
      <c r="P24" s="40">
        <f>IFERROR($U$7*'Muraba Veil Sale Summary'!$G$6*I24,0)</f>
        <v>2939070.6652454399</v>
      </c>
      <c r="Q24" s="39">
        <f t="shared" si="2"/>
        <v>16362598.012295039</v>
      </c>
      <c r="R24" s="41">
        <f>J24*'Muraba Veil Sale Summary'!$F$6</f>
        <v>13423527.3470496</v>
      </c>
      <c r="S24" s="42">
        <f>J24*$U$7*'Muraba Veil Sale Summary'!$G$6</f>
        <v>2939070.6652454399</v>
      </c>
      <c r="T24" s="39">
        <f t="shared" si="3"/>
        <v>16362598.012295039</v>
      </c>
      <c r="U24" s="43">
        <f t="shared" si="4"/>
        <v>52664971.9148544</v>
      </c>
      <c r="V24" s="12"/>
      <c r="W24" s="12">
        <f t="shared" si="5"/>
        <v>0</v>
      </c>
      <c r="X24" s="12"/>
      <c r="Y24" s="183"/>
      <c r="Z24" s="183"/>
      <c r="AA24" s="12"/>
      <c r="AB24" s="12"/>
      <c r="AC24" s="12"/>
      <c r="AD24" s="12"/>
      <c r="AE24" s="12"/>
      <c r="AF24" s="12"/>
      <c r="AG24" s="12"/>
      <c r="AH24" s="25"/>
      <c r="AJ24" s="36"/>
      <c r="AK24" s="42"/>
      <c r="AL24" s="37"/>
      <c r="AM24" s="38"/>
      <c r="AN24" s="39"/>
      <c r="AO24" s="36"/>
      <c r="AP24" s="40"/>
      <c r="AQ24" s="39"/>
      <c r="AR24" s="41"/>
      <c r="AS24" s="42"/>
      <c r="AT24" s="39"/>
      <c r="AU24" s="43"/>
    </row>
    <row r="25" spans="1:47" x14ac:dyDescent="0.35">
      <c r="A25" s="12">
        <f t="shared" si="6"/>
        <v>150</v>
      </c>
      <c r="C25" s="185" t="s">
        <v>135</v>
      </c>
      <c r="D25">
        <f t="shared" si="7"/>
        <v>1401</v>
      </c>
      <c r="E25">
        <f t="shared" si="8"/>
        <v>1402</v>
      </c>
      <c r="F25">
        <f t="shared" si="9"/>
        <v>1403</v>
      </c>
      <c r="G25" s="36">
        <f t="shared" si="10"/>
        <v>14</v>
      </c>
      <c r="H25" s="42">
        <v>5850</v>
      </c>
      <c r="I25" s="44">
        <v>6200</v>
      </c>
      <c r="J25" s="44">
        <v>6200</v>
      </c>
      <c r="K25" s="37">
        <f>IFERROR(H25*'Muraba Veil Sale Summary'!$F$8,0)</f>
        <v>16851100.8635424</v>
      </c>
      <c r="L25" s="38">
        <f>IFERROR(H25*$U$7*'Muraba Veil Sale Summary'!$G$8,0)</f>
        <v>3613405.9712025602</v>
      </c>
      <c r="M25" s="39">
        <f t="shared" si="1"/>
        <v>20464506.83474496</v>
      </c>
      <c r="N25" s="44"/>
      <c r="O25" s="36">
        <f>IFERROR(I25*'Muraba Veil Sale Summary'!$F$6,0)</f>
        <v>13756342.074662399</v>
      </c>
      <c r="P25" s="40">
        <f>IFERROR($U$7*'Muraba Veil Sale Summary'!$G$6*I25,0)</f>
        <v>3011940.1858713599</v>
      </c>
      <c r="Q25" s="39">
        <f t="shared" si="2"/>
        <v>16768282.260533758</v>
      </c>
      <c r="R25" s="41">
        <f>J25*'Muraba Veil Sale Summary'!$F$6</f>
        <v>13756342.074662399</v>
      </c>
      <c r="S25" s="42">
        <f>J25*$U$7*'Muraba Veil Sale Summary'!$G$6</f>
        <v>3011940.1858713599</v>
      </c>
      <c r="T25" s="39">
        <f t="shared" si="3"/>
        <v>16768282.260533758</v>
      </c>
      <c r="U25" s="43">
        <f t="shared" si="4"/>
        <v>54001071.355812475</v>
      </c>
      <c r="V25" s="12"/>
      <c r="W25" s="12">
        <f t="shared" si="5"/>
        <v>0</v>
      </c>
      <c r="X25" s="12"/>
      <c r="Y25" s="183"/>
      <c r="Z25" s="183"/>
      <c r="AA25" s="12"/>
      <c r="AB25" s="12"/>
      <c r="AC25" s="12"/>
      <c r="AD25" s="12"/>
      <c r="AE25" s="12"/>
      <c r="AF25" s="12"/>
      <c r="AG25" s="12"/>
      <c r="AH25" s="25"/>
      <c r="AJ25" s="36"/>
      <c r="AK25" s="42"/>
      <c r="AL25" s="37"/>
      <c r="AM25" s="38"/>
      <c r="AN25" s="39"/>
      <c r="AO25" s="36"/>
      <c r="AP25" s="40"/>
      <c r="AQ25" s="39"/>
      <c r="AR25" s="41"/>
      <c r="AS25" s="42"/>
      <c r="AT25" s="39"/>
      <c r="AU25" s="43"/>
    </row>
    <row r="26" spans="1:47" x14ac:dyDescent="0.35">
      <c r="A26" s="12">
        <f t="shared" si="6"/>
        <v>150</v>
      </c>
      <c r="C26" s="185" t="s">
        <v>135</v>
      </c>
      <c r="D26" s="17">
        <f t="shared" si="7"/>
        <v>1501</v>
      </c>
      <c r="E26">
        <f t="shared" si="8"/>
        <v>1502</v>
      </c>
      <c r="F26">
        <f t="shared" si="9"/>
        <v>1503</v>
      </c>
      <c r="G26" s="36">
        <f t="shared" si="10"/>
        <v>15</v>
      </c>
      <c r="H26" s="94">
        <v>5450</v>
      </c>
      <c r="I26" s="44">
        <v>6350</v>
      </c>
      <c r="J26" s="44">
        <v>6350</v>
      </c>
      <c r="K26" s="239">
        <f>IFERROR(H26*'Muraba Veil Sale Summary'!$F$8,0)</f>
        <v>15698888.838684801</v>
      </c>
      <c r="L26" s="240">
        <f>IFERROR(H26*$U$7*'Muraba Veil Sale Summary'!$G$8,0)</f>
        <v>3366335.4774451205</v>
      </c>
      <c r="M26" s="237">
        <f t="shared" si="1"/>
        <v>19065224.316129923</v>
      </c>
      <c r="N26" s="242"/>
      <c r="O26" s="36">
        <f>IFERROR(I26*'Muraba Veil Sale Summary'!$F$6,0)</f>
        <v>14089156.802275199</v>
      </c>
      <c r="P26" s="40">
        <f>IFERROR($U$7*'Muraba Veil Sale Summary'!$G$6*I26,0)</f>
        <v>3084809.7064972799</v>
      </c>
      <c r="Q26" s="39">
        <f t="shared" si="2"/>
        <v>17173966.508772478</v>
      </c>
      <c r="R26" s="41">
        <f>J26*'Muraba Veil Sale Summary'!$F$6</f>
        <v>14089156.802275199</v>
      </c>
      <c r="S26" s="42">
        <f>J26*$U$7*'Muraba Veil Sale Summary'!$G$6</f>
        <v>3084809.7064972799</v>
      </c>
      <c r="T26" s="39">
        <f t="shared" si="3"/>
        <v>17173966.508772478</v>
      </c>
      <c r="U26" s="43">
        <f t="shared" si="4"/>
        <v>53413157.333674878</v>
      </c>
      <c r="V26" s="12"/>
      <c r="W26" s="12">
        <f t="shared" si="5"/>
        <v>0</v>
      </c>
      <c r="X26" s="12"/>
      <c r="Y26" s="183"/>
      <c r="Z26" s="183"/>
      <c r="AA26" s="12"/>
      <c r="AB26" s="12"/>
      <c r="AC26" s="12"/>
      <c r="AD26" s="12"/>
      <c r="AE26" s="12"/>
      <c r="AF26" s="12"/>
      <c r="AG26" s="12"/>
      <c r="AH26" s="25"/>
      <c r="AJ26" s="36"/>
      <c r="AK26" s="42"/>
      <c r="AL26" s="37"/>
      <c r="AM26" s="38"/>
      <c r="AN26" s="39"/>
      <c r="AO26" s="36"/>
      <c r="AP26" s="40"/>
      <c r="AQ26" s="39"/>
      <c r="AR26" s="41"/>
      <c r="AS26" s="42"/>
      <c r="AT26" s="39"/>
      <c r="AU26" s="43"/>
    </row>
    <row r="27" spans="1:47" x14ac:dyDescent="0.35">
      <c r="A27" s="12">
        <f t="shared" si="6"/>
        <v>150</v>
      </c>
      <c r="C27" s="185" t="s">
        <v>135</v>
      </c>
      <c r="D27" s="17">
        <f t="shared" si="7"/>
        <v>1601</v>
      </c>
      <c r="E27">
        <f t="shared" si="8"/>
        <v>1602</v>
      </c>
      <c r="F27">
        <f t="shared" si="9"/>
        <v>1603</v>
      </c>
      <c r="G27" s="36">
        <f t="shared" si="10"/>
        <v>16</v>
      </c>
      <c r="H27" s="94">
        <v>5550</v>
      </c>
      <c r="I27" s="44">
        <v>6500</v>
      </c>
      <c r="J27" s="44">
        <v>6500</v>
      </c>
      <c r="K27" s="239">
        <f>IFERROR(H27*'Muraba Veil Sale Summary'!$F$8,0)</f>
        <v>15986941.8448992</v>
      </c>
      <c r="L27" s="240">
        <f>IFERROR(H27*$U$7*'Muraba Veil Sale Summary'!$G$8,0)</f>
        <v>3428103.1008844804</v>
      </c>
      <c r="M27" s="237">
        <f t="shared" si="1"/>
        <v>19415044.945783682</v>
      </c>
      <c r="N27" s="242"/>
      <c r="O27" s="36">
        <f>IFERROR(I27*'Muraba Veil Sale Summary'!$F$6,0)</f>
        <v>14421971.529887998</v>
      </c>
      <c r="P27" s="40">
        <f>IFERROR($U$7*'Muraba Veil Sale Summary'!$G$6*I27,0)</f>
        <v>3157679.2271232</v>
      </c>
      <c r="Q27" s="39">
        <f t="shared" si="2"/>
        <v>17579650.757011198</v>
      </c>
      <c r="R27" s="41">
        <f>J27*'Muraba Veil Sale Summary'!$F$6</f>
        <v>14421971.529887998</v>
      </c>
      <c r="S27" s="42">
        <f>J27*$U$7*'Muraba Veil Sale Summary'!$G$6</f>
        <v>3157679.2271232</v>
      </c>
      <c r="T27" s="39">
        <f t="shared" si="3"/>
        <v>17579650.757011198</v>
      </c>
      <c r="U27" s="43">
        <f t="shared" si="4"/>
        <v>54574346.459806077</v>
      </c>
      <c r="V27" s="12"/>
      <c r="W27" s="12">
        <f t="shared" si="5"/>
        <v>0</v>
      </c>
      <c r="X27" s="12"/>
      <c r="Y27" s="183"/>
      <c r="Z27" s="183"/>
      <c r="AA27" s="12"/>
      <c r="AB27" s="12"/>
      <c r="AC27" s="12"/>
      <c r="AD27" s="12"/>
      <c r="AE27" s="12"/>
      <c r="AF27" s="12"/>
      <c r="AG27" s="12"/>
      <c r="AH27" s="25"/>
      <c r="AJ27" s="36"/>
      <c r="AK27" s="42"/>
      <c r="AL27" s="37"/>
      <c r="AM27" s="38"/>
      <c r="AN27" s="39"/>
      <c r="AO27" s="36"/>
      <c r="AP27" s="40"/>
      <c r="AQ27" s="39"/>
      <c r="AR27" s="41"/>
      <c r="AS27" s="42"/>
      <c r="AT27" s="39"/>
      <c r="AU27" s="43"/>
    </row>
    <row r="28" spans="1:47" x14ac:dyDescent="0.35">
      <c r="A28" s="12">
        <f t="shared" si="6"/>
        <v>150</v>
      </c>
      <c r="C28" s="185" t="s">
        <v>135</v>
      </c>
      <c r="D28" s="17">
        <f t="shared" si="7"/>
        <v>1701</v>
      </c>
      <c r="E28" s="17">
        <f t="shared" si="8"/>
        <v>1702</v>
      </c>
      <c r="F28">
        <f t="shared" si="9"/>
        <v>1703</v>
      </c>
      <c r="G28" s="36">
        <f t="shared" si="10"/>
        <v>17</v>
      </c>
      <c r="H28" s="94">
        <v>5502.820122144587</v>
      </c>
      <c r="I28" s="242">
        <v>5541.3460339164312</v>
      </c>
      <c r="J28" s="44">
        <f>J27+150</f>
        <v>6650</v>
      </c>
      <c r="K28" s="239">
        <f>IFERROR(H28*'Muraba Veil Sale Summary'!$F$8,0)</f>
        <v>15851038.788408402</v>
      </c>
      <c r="L28" s="240">
        <f>IFERROR(H28*$U$7*'Muraba Veil Sale Summary'!$G$8,0)</f>
        <v>3398961.2115915986</v>
      </c>
      <c r="M28" s="237">
        <f t="shared" si="1"/>
        <v>19250000</v>
      </c>
      <c r="N28" s="242"/>
      <c r="O28" s="235">
        <f>IFERROR(I28*'Muraba Veil Sale Summary'!$F$6,0)</f>
        <v>12294943.805907777</v>
      </c>
      <c r="P28" s="236">
        <f>IFERROR($U$7*'Muraba Veil Sale Summary'!$G$6*I28,0)</f>
        <v>2691968.1940922225</v>
      </c>
      <c r="Q28" s="237">
        <f t="shared" si="2"/>
        <v>14986912</v>
      </c>
      <c r="R28" s="41">
        <f>J28*'Muraba Veil Sale Summary'!$F$6</f>
        <v>14754786.257500799</v>
      </c>
      <c r="S28" s="42">
        <f>J28*$U$7*'Muraba Veil Sale Summary'!$G$6</f>
        <v>3230548.74774912</v>
      </c>
      <c r="T28" s="39">
        <f t="shared" si="3"/>
        <v>17985335.005249918</v>
      </c>
      <c r="U28" s="43">
        <f t="shared" si="4"/>
        <v>52222247.005249918</v>
      </c>
      <c r="V28" s="12"/>
      <c r="W28" s="12">
        <f t="shared" si="5"/>
        <v>2998423.0052499175</v>
      </c>
      <c r="X28" s="12"/>
      <c r="Y28" s="183"/>
      <c r="Z28" s="183"/>
      <c r="AA28" s="12"/>
      <c r="AB28" s="12"/>
      <c r="AC28" s="12"/>
      <c r="AD28" s="12"/>
      <c r="AE28" s="12"/>
      <c r="AF28" s="12"/>
      <c r="AG28" s="12"/>
      <c r="AH28" s="25"/>
      <c r="AJ28" s="36"/>
      <c r="AK28" s="42"/>
      <c r="AL28" s="37"/>
      <c r="AM28" s="38"/>
      <c r="AN28" s="39"/>
      <c r="AO28" s="36"/>
      <c r="AP28" s="40"/>
      <c r="AQ28" s="39"/>
      <c r="AR28" s="41"/>
      <c r="AS28" s="42"/>
      <c r="AT28" s="39"/>
      <c r="AU28" s="43"/>
    </row>
    <row r="29" spans="1:47" x14ac:dyDescent="0.35">
      <c r="A29" s="12">
        <f t="shared" si="6"/>
        <v>150</v>
      </c>
      <c r="C29" s="185" t="s">
        <v>135</v>
      </c>
      <c r="D29">
        <f t="shared" si="7"/>
        <v>1801</v>
      </c>
      <c r="E29">
        <f t="shared" si="8"/>
        <v>1802</v>
      </c>
      <c r="F29">
        <f t="shared" si="9"/>
        <v>1803</v>
      </c>
      <c r="G29" s="36">
        <f t="shared" si="10"/>
        <v>18</v>
      </c>
      <c r="H29" s="42">
        <v>6450</v>
      </c>
      <c r="I29" s="44">
        <v>6800</v>
      </c>
      <c r="J29" s="44">
        <v>6800</v>
      </c>
      <c r="K29" s="37">
        <f>IFERROR(H29*'Muraba Veil Sale Summary'!$F$8,0)</f>
        <v>18579418.900828801</v>
      </c>
      <c r="L29" s="38">
        <f>IFERROR(H29*$U$7*'Muraba Veil Sale Summary'!$G$8,0)</f>
        <v>3984011.7118387204</v>
      </c>
      <c r="M29" s="39">
        <f t="shared" si="1"/>
        <v>22563430.612667523</v>
      </c>
      <c r="N29" s="44"/>
      <c r="O29" s="36">
        <f>IFERROR(I29*'Muraba Veil Sale Summary'!$F$6,0)</f>
        <v>15087600.985113598</v>
      </c>
      <c r="P29" s="40">
        <f>IFERROR($U$7*'Muraba Veil Sale Summary'!$G$6*I29,0)</f>
        <v>3303418.2683750396</v>
      </c>
      <c r="Q29" s="39">
        <f t="shared" si="2"/>
        <v>18391019.253488638</v>
      </c>
      <c r="R29" s="41">
        <f>J29*'Muraba Veil Sale Summary'!$F$6</f>
        <v>15087600.985113598</v>
      </c>
      <c r="S29" s="42">
        <f>J29*$U$7*'Muraba Veil Sale Summary'!$G$6</f>
        <v>3303418.26837504</v>
      </c>
      <c r="T29" s="39">
        <f t="shared" si="3"/>
        <v>18391019.253488638</v>
      </c>
      <c r="U29" s="43">
        <f t="shared" si="4"/>
        <v>59345469.119644798</v>
      </c>
      <c r="V29" s="12"/>
      <c r="W29" s="12">
        <f t="shared" si="5"/>
        <v>0</v>
      </c>
      <c r="X29" s="12"/>
      <c r="Y29" s="183"/>
      <c r="Z29" s="183"/>
      <c r="AA29" s="12"/>
      <c r="AB29" s="12"/>
      <c r="AC29" s="12"/>
      <c r="AD29" s="12"/>
      <c r="AE29" s="12"/>
      <c r="AF29" s="12"/>
      <c r="AG29" s="12"/>
      <c r="AH29" s="25"/>
      <c r="AJ29" s="36"/>
      <c r="AK29" s="42"/>
      <c r="AL29" s="37"/>
      <c r="AM29" s="38"/>
      <c r="AN29" s="39"/>
      <c r="AO29" s="36"/>
      <c r="AP29" s="40"/>
      <c r="AQ29" s="39"/>
      <c r="AR29" s="41"/>
      <c r="AS29" s="42"/>
      <c r="AT29" s="39"/>
      <c r="AU29" s="43"/>
    </row>
    <row r="30" spans="1:47" x14ac:dyDescent="0.35">
      <c r="A30" s="12">
        <f t="shared" si="6"/>
        <v>150</v>
      </c>
      <c r="C30" s="185" t="s">
        <v>135</v>
      </c>
      <c r="D30">
        <f t="shared" si="7"/>
        <v>1901</v>
      </c>
      <c r="E30">
        <f t="shared" si="8"/>
        <v>1902</v>
      </c>
      <c r="F30">
        <f t="shared" si="9"/>
        <v>1903</v>
      </c>
      <c r="G30" s="36">
        <f t="shared" si="10"/>
        <v>19</v>
      </c>
      <c r="H30" s="42">
        <v>6600</v>
      </c>
      <c r="I30" s="44">
        <v>6950</v>
      </c>
      <c r="J30" s="44">
        <v>6950</v>
      </c>
      <c r="K30" s="37">
        <f>IFERROR(H30*'Muraba Veil Sale Summary'!$F$8,0)</f>
        <v>19011498.410150401</v>
      </c>
      <c r="L30" s="38">
        <f>IFERROR(H30*$U$7*'Muraba Veil Sale Summary'!$G$8,0)</f>
        <v>4076663.1469977605</v>
      </c>
      <c r="M30" s="39">
        <f t="shared" si="1"/>
        <v>23088161.557148162</v>
      </c>
      <c r="N30" s="44"/>
      <c r="O30" s="36">
        <f>IFERROR(I30*'Muraba Veil Sale Summary'!$F$6,0)</f>
        <v>15420415.712726399</v>
      </c>
      <c r="P30" s="40">
        <f>IFERROR($U$7*'Muraba Veil Sale Summary'!$G$6*I30,0)</f>
        <v>3376287.7890009596</v>
      </c>
      <c r="Q30" s="39">
        <f t="shared" si="2"/>
        <v>18796703.501727358</v>
      </c>
      <c r="R30" s="41">
        <f>J30*'Muraba Veil Sale Summary'!$F$6</f>
        <v>15420415.712726399</v>
      </c>
      <c r="S30" s="42">
        <f>J30*$U$7*'Muraba Veil Sale Summary'!$G$6</f>
        <v>3376287.7890009601</v>
      </c>
      <c r="T30" s="39">
        <f t="shared" si="3"/>
        <v>18796703.501727358</v>
      </c>
      <c r="U30" s="43">
        <f t="shared" si="4"/>
        <v>60681568.560602874</v>
      </c>
      <c r="V30" s="12"/>
      <c r="W30" s="12">
        <f t="shared" si="5"/>
        <v>0</v>
      </c>
      <c r="X30" s="12"/>
      <c r="Y30" s="183"/>
      <c r="Z30" s="183"/>
      <c r="AA30" s="12"/>
      <c r="AB30" s="12"/>
      <c r="AC30" s="12"/>
      <c r="AD30" s="12"/>
      <c r="AE30" s="12"/>
      <c r="AF30" s="12"/>
      <c r="AG30" s="12"/>
      <c r="AH30" s="25"/>
      <c r="AJ30" s="36"/>
      <c r="AK30" s="42"/>
      <c r="AL30" s="37"/>
      <c r="AM30" s="38"/>
      <c r="AN30" s="39"/>
      <c r="AO30" s="36"/>
      <c r="AP30" s="40"/>
      <c r="AQ30" s="39"/>
      <c r="AR30" s="41"/>
      <c r="AS30" s="42"/>
      <c r="AT30" s="39"/>
      <c r="AU30" s="43"/>
    </row>
    <row r="31" spans="1:47" x14ac:dyDescent="0.35">
      <c r="A31" s="12">
        <f t="shared" si="6"/>
        <v>-999.99994335590691</v>
      </c>
      <c r="C31" s="185" t="s">
        <v>135</v>
      </c>
      <c r="D31" s="17">
        <f t="shared" si="7"/>
        <v>2001</v>
      </c>
      <c r="E31" s="17">
        <f t="shared" si="8"/>
        <v>2002</v>
      </c>
      <c r="F31" s="17">
        <f t="shared" si="9"/>
        <v>2003</v>
      </c>
      <c r="G31" s="36">
        <f t="shared" si="10"/>
        <v>20</v>
      </c>
      <c r="H31" s="94">
        <v>5949.9998672466172</v>
      </c>
      <c r="I31" s="242">
        <v>5361.3124232522523</v>
      </c>
      <c r="J31" s="242">
        <v>5950.0000566440931</v>
      </c>
      <c r="K31" s="239">
        <f>IFERROR(H31*'Muraba Veil Sale Summary'!$F$8,0)</f>
        <v>17139153.487356693</v>
      </c>
      <c r="L31" s="240">
        <f>IFERROR(H31*$U$7*'Muraba Veil Sale Summary'!$G$8,0)</f>
        <v>3675173.5126433107</v>
      </c>
      <c r="M31" s="237">
        <f t="shared" si="1"/>
        <v>20814327.000000004</v>
      </c>
      <c r="N31" s="242"/>
      <c r="O31" s="235">
        <f>IFERROR(I31*'Muraba Veil Sale Summary'!$F$6,0)</f>
        <v>11895491.558612127</v>
      </c>
      <c r="P31" s="236">
        <f>IFERROR($U$7*'Muraba Veil Sale Summary'!$G$6*I31,0)</f>
        <v>2604508.4413878741</v>
      </c>
      <c r="Q31" s="237">
        <f t="shared" si="2"/>
        <v>14500000</v>
      </c>
      <c r="R31" s="241">
        <f>J31*'Muraba Veil Sale Summary'!$F$6</f>
        <v>13201650.987654321</v>
      </c>
      <c r="S31" s="94">
        <f>J31*$U$7*'Muraba Veil Sale Summary'!$G$6</f>
        <v>2890491.0123456796</v>
      </c>
      <c r="T31" s="237">
        <f t="shared" si="3"/>
        <v>16092142</v>
      </c>
      <c r="U31" s="43">
        <f t="shared" si="4"/>
        <v>51406469</v>
      </c>
      <c r="V31" s="12"/>
      <c r="W31" s="12">
        <f t="shared" si="5"/>
        <v>1592142</v>
      </c>
      <c r="X31" s="12"/>
      <c r="Y31" s="183"/>
      <c r="Z31" s="183"/>
      <c r="AA31" s="12"/>
      <c r="AB31" s="12"/>
      <c r="AC31" s="12"/>
      <c r="AD31" s="12"/>
      <c r="AE31" s="12"/>
      <c r="AF31" s="12"/>
      <c r="AG31" s="12"/>
      <c r="AH31" s="25"/>
      <c r="AJ31" s="36"/>
      <c r="AK31" s="42"/>
      <c r="AL31" s="37"/>
      <c r="AM31" s="38"/>
      <c r="AN31" s="39"/>
      <c r="AO31" s="36"/>
      <c r="AP31" s="40"/>
      <c r="AQ31" s="39"/>
      <c r="AR31" s="41"/>
      <c r="AS31" s="42"/>
      <c r="AT31" s="39"/>
      <c r="AU31" s="43"/>
    </row>
    <row r="32" spans="1:47" x14ac:dyDescent="0.35">
      <c r="A32" s="12">
        <f t="shared" si="6"/>
        <v>1149.9999433559069</v>
      </c>
      <c r="C32" s="185" t="s">
        <v>135</v>
      </c>
      <c r="D32">
        <f t="shared" si="7"/>
        <v>2101</v>
      </c>
      <c r="E32" s="17">
        <f t="shared" si="8"/>
        <v>2102</v>
      </c>
      <c r="F32">
        <f t="shared" si="9"/>
        <v>2103</v>
      </c>
      <c r="G32" s="36">
        <f t="shared" si="10"/>
        <v>21</v>
      </c>
      <c r="H32" s="42">
        <v>6900</v>
      </c>
      <c r="I32" s="44">
        <v>6149.9999342638321</v>
      </c>
      <c r="J32" s="44">
        <f>J30+150</f>
        <v>7100</v>
      </c>
      <c r="K32" s="37">
        <f>IFERROR(H32*'Muraba Veil Sale Summary'!$F$8,0)</f>
        <v>19875657.428793602</v>
      </c>
      <c r="L32" s="38">
        <f>IFERROR(H32*$U$7*'Muraba Veil Sale Summary'!$G$8,0)</f>
        <v>4261966.0173158403</v>
      </c>
      <c r="M32" s="39">
        <f t="shared" si="1"/>
        <v>24137623.446109444</v>
      </c>
      <c r="N32" s="44"/>
      <c r="O32" s="235">
        <f>IFERROR(I32*'Muraba Veil Sale Summary'!$F$6,0)</f>
        <v>13645403.686271699</v>
      </c>
      <c r="P32" s="236">
        <f>IFERROR($U$7*'Muraba Veil Sale Summary'!$G$6*I32,0)</f>
        <v>2987650.3137282995</v>
      </c>
      <c r="Q32" s="237">
        <f t="shared" si="2"/>
        <v>16633053.999999998</v>
      </c>
      <c r="R32" s="41">
        <f>J32*'Muraba Veil Sale Summary'!$F$6</f>
        <v>15753230.440339198</v>
      </c>
      <c r="S32" s="42">
        <f>J32*$U$7*'Muraba Veil Sale Summary'!$G$6</f>
        <v>3449157.3096268801</v>
      </c>
      <c r="T32" s="39">
        <f t="shared" si="3"/>
        <v>19202387.749966078</v>
      </c>
      <c r="U32" s="43">
        <f t="shared" si="4"/>
        <v>59973065.196075521</v>
      </c>
      <c r="V32" s="12"/>
      <c r="W32" s="12">
        <f t="shared" si="5"/>
        <v>2569333.7499660794</v>
      </c>
      <c r="X32" s="12"/>
      <c r="Y32" s="183"/>
      <c r="Z32" s="183"/>
      <c r="AA32" s="12"/>
      <c r="AB32" s="12"/>
      <c r="AC32" s="12"/>
      <c r="AD32" s="12"/>
      <c r="AE32" s="12"/>
      <c r="AF32" s="12"/>
      <c r="AG32" s="12"/>
      <c r="AH32" s="25"/>
      <c r="AJ32" s="36"/>
      <c r="AK32" s="42"/>
      <c r="AL32" s="37"/>
      <c r="AM32" s="38"/>
      <c r="AN32" s="39"/>
      <c r="AO32" s="36"/>
      <c r="AP32" s="40"/>
      <c r="AQ32" s="39"/>
      <c r="AR32" s="41"/>
      <c r="AS32" s="42"/>
      <c r="AT32" s="39"/>
      <c r="AU32" s="43"/>
    </row>
    <row r="33" spans="1:47" x14ac:dyDescent="0.35">
      <c r="A33" s="12">
        <f t="shared" si="6"/>
        <v>300</v>
      </c>
      <c r="C33" s="185" t="s">
        <v>135</v>
      </c>
      <c r="D33">
        <f t="shared" si="7"/>
        <v>2201</v>
      </c>
      <c r="E33">
        <f t="shared" si="8"/>
        <v>2202</v>
      </c>
      <c r="F33">
        <f t="shared" si="9"/>
        <v>2203</v>
      </c>
      <c r="G33" s="36">
        <f t="shared" si="10"/>
        <v>22</v>
      </c>
      <c r="H33" s="42">
        <v>7050</v>
      </c>
      <c r="I33" s="44">
        <v>7400</v>
      </c>
      <c r="J33" s="44">
        <v>7400</v>
      </c>
      <c r="K33" s="37">
        <f>IFERROR(H33*'Muraba Veil Sale Summary'!$F$8,0)</f>
        <v>20307736.938115202</v>
      </c>
      <c r="L33" s="38">
        <f>IFERROR(H33*$U$7*'Muraba Veil Sale Summary'!$G$8,0)</f>
        <v>4354617.45247488</v>
      </c>
      <c r="M33" s="39">
        <f t="shared" si="1"/>
        <v>24662354.390590083</v>
      </c>
      <c r="N33" s="44"/>
      <c r="O33" s="36">
        <f>IFERROR(I33*'Muraba Veil Sale Summary'!$F$6,0)</f>
        <v>16418859.895564798</v>
      </c>
      <c r="P33" s="40">
        <f>IFERROR($U$7*'Muraba Veil Sale Summary'!$G$6*I33,0)</f>
        <v>3594896.3508787197</v>
      </c>
      <c r="Q33" s="39">
        <f t="shared" si="2"/>
        <v>20013756.246443518</v>
      </c>
      <c r="R33" s="41">
        <f>J33*'Muraba Veil Sale Summary'!$F$6</f>
        <v>16418859.895564798</v>
      </c>
      <c r="S33" s="42">
        <f>J33*$U$7*'Muraba Veil Sale Summary'!$G$6</f>
        <v>3594896.3508787202</v>
      </c>
      <c r="T33" s="39">
        <f t="shared" si="3"/>
        <v>20013756.246443518</v>
      </c>
      <c r="U33" s="43">
        <f t="shared" si="4"/>
        <v>64689866.883477114</v>
      </c>
      <c r="V33" s="12"/>
      <c r="W33" s="12">
        <f t="shared" si="5"/>
        <v>0</v>
      </c>
      <c r="X33" s="12"/>
      <c r="Y33" s="183"/>
      <c r="Z33" s="183"/>
      <c r="AA33" s="12"/>
      <c r="AB33" s="12"/>
      <c r="AC33" s="12"/>
      <c r="AD33" s="12"/>
      <c r="AE33" s="12"/>
      <c r="AF33" s="12"/>
      <c r="AG33" s="12"/>
      <c r="AH33" s="25"/>
      <c r="AJ33" s="36"/>
      <c r="AK33" s="42"/>
      <c r="AL33" s="37"/>
      <c r="AM33" s="38"/>
      <c r="AN33" s="39"/>
      <c r="AO33" s="36"/>
      <c r="AP33" s="40"/>
      <c r="AQ33" s="39"/>
      <c r="AR33" s="41"/>
      <c r="AS33" s="42"/>
      <c r="AT33" s="39"/>
      <c r="AU33" s="43"/>
    </row>
    <row r="34" spans="1:47" x14ac:dyDescent="0.35">
      <c r="A34" s="12">
        <f t="shared" si="6"/>
        <v>150</v>
      </c>
      <c r="C34" s="185" t="s">
        <v>135</v>
      </c>
      <c r="D34">
        <f t="shared" si="7"/>
        <v>2301</v>
      </c>
      <c r="E34">
        <f t="shared" si="8"/>
        <v>2302</v>
      </c>
      <c r="F34">
        <f t="shared" si="9"/>
        <v>2303</v>
      </c>
      <c r="G34" s="36">
        <f t="shared" si="10"/>
        <v>23</v>
      </c>
      <c r="H34" s="42">
        <v>7200</v>
      </c>
      <c r="I34" s="44">
        <v>7550</v>
      </c>
      <c r="J34" s="44">
        <v>7550</v>
      </c>
      <c r="K34" s="37">
        <f>IFERROR(H34*'Muraba Veil Sale Summary'!$F$8,0)</f>
        <v>20739816.447436802</v>
      </c>
      <c r="L34" s="38">
        <f>IFERROR(H34*$U$7*'Muraba Veil Sale Summary'!$G$8,0)</f>
        <v>4447268.8876339206</v>
      </c>
      <c r="M34" s="39">
        <f t="shared" si="1"/>
        <v>25187085.335070722</v>
      </c>
      <c r="N34" s="44"/>
      <c r="O34" s="36">
        <f>IFERROR(I34*'Muraba Veil Sale Summary'!$F$6,0)</f>
        <v>16751674.623177599</v>
      </c>
      <c r="P34" s="40">
        <f>IFERROR($U$7*'Muraba Veil Sale Summary'!$G$6*I34,0)</f>
        <v>3667765.8715046397</v>
      </c>
      <c r="Q34" s="39">
        <f t="shared" si="2"/>
        <v>20419440.494682238</v>
      </c>
      <c r="R34" s="41">
        <f>J34*'Muraba Veil Sale Summary'!$F$6</f>
        <v>16751674.623177599</v>
      </c>
      <c r="S34" s="42">
        <f>J34*$U$7*'Muraba Veil Sale Summary'!$G$6</f>
        <v>3667765.8715046402</v>
      </c>
      <c r="T34" s="39">
        <f t="shared" si="3"/>
        <v>20419440.494682238</v>
      </c>
      <c r="U34" s="43">
        <f t="shared" si="4"/>
        <v>66025966.324435197</v>
      </c>
      <c r="V34" s="12"/>
      <c r="W34" s="12">
        <f t="shared" si="5"/>
        <v>0</v>
      </c>
      <c r="X34" s="12"/>
      <c r="Y34" s="183"/>
      <c r="Z34" s="183"/>
      <c r="AA34" s="12"/>
      <c r="AB34" s="12"/>
      <c r="AC34" s="12"/>
      <c r="AD34" s="12"/>
      <c r="AE34" s="12"/>
      <c r="AF34" s="12"/>
      <c r="AG34" s="12"/>
      <c r="AH34" s="25"/>
      <c r="AJ34" s="36"/>
      <c r="AK34" s="42"/>
      <c r="AL34" s="37"/>
      <c r="AM34" s="38"/>
      <c r="AN34" s="39"/>
      <c r="AO34" s="36"/>
      <c r="AP34" s="40"/>
      <c r="AQ34" s="39"/>
      <c r="AR34" s="41"/>
      <c r="AS34" s="42"/>
      <c r="AT34" s="39"/>
      <c r="AU34" s="43"/>
    </row>
    <row r="35" spans="1:47" x14ac:dyDescent="0.35">
      <c r="A35" s="12">
        <f t="shared" si="6"/>
        <v>150</v>
      </c>
      <c r="C35" s="185" t="s">
        <v>135</v>
      </c>
      <c r="D35" s="17">
        <f t="shared" si="7"/>
        <v>2401</v>
      </c>
      <c r="E35">
        <f t="shared" si="8"/>
        <v>2402</v>
      </c>
      <c r="F35">
        <f t="shared" si="9"/>
        <v>2403</v>
      </c>
      <c r="G35" s="36">
        <f t="shared" si="10"/>
        <v>24</v>
      </c>
      <c r="H35" s="94">
        <v>7492.7765197675708</v>
      </c>
      <c r="I35" s="44">
        <v>7700</v>
      </c>
      <c r="J35" s="44">
        <v>7700</v>
      </c>
      <c r="K35" s="239">
        <f>IFERROR(H35*'Muraba Veil Sale Summary'!$F$8,0)</f>
        <v>21583168.014117185</v>
      </c>
      <c r="L35" s="240">
        <f>IFERROR(H35*$U$7*'Muraba Veil Sale Summary'!$G$8,0)</f>
        <v>4628109.9858828168</v>
      </c>
      <c r="M35" s="237">
        <f t="shared" si="1"/>
        <v>26211278</v>
      </c>
      <c r="N35" s="242"/>
      <c r="O35" s="36">
        <f>IFERROR(I35*'Muraba Veil Sale Summary'!$F$6,0)</f>
        <v>17084489.3507904</v>
      </c>
      <c r="P35" s="40">
        <f>IFERROR($U$7*'Muraba Veil Sale Summary'!$G$6*I35,0)</f>
        <v>3740635.3921305598</v>
      </c>
      <c r="Q35" s="39">
        <f t="shared" si="2"/>
        <v>20825124.742920961</v>
      </c>
      <c r="R35" s="41">
        <f>J35*'Muraba Veil Sale Summary'!$F$6</f>
        <v>17084489.3507904</v>
      </c>
      <c r="S35" s="42">
        <f>J35*$U$7*'Muraba Veil Sale Summary'!$G$6</f>
        <v>3740635.3921305602</v>
      </c>
      <c r="T35" s="39">
        <f t="shared" si="3"/>
        <v>20825124.742920961</v>
      </c>
      <c r="U35" s="43">
        <f t="shared" si="4"/>
        <v>67861527.48584193</v>
      </c>
      <c r="V35" s="12"/>
      <c r="W35" s="12">
        <f t="shared" si="5"/>
        <v>0</v>
      </c>
      <c r="X35" s="12"/>
      <c r="Y35" s="183"/>
      <c r="Z35" s="183"/>
      <c r="AA35" s="12"/>
      <c r="AB35" s="12"/>
      <c r="AC35" s="12"/>
      <c r="AD35" s="12"/>
      <c r="AE35" s="12"/>
      <c r="AF35" s="12"/>
      <c r="AG35" s="12"/>
      <c r="AH35" s="25"/>
      <c r="AJ35" s="36"/>
      <c r="AK35" s="42"/>
      <c r="AL35" s="37"/>
      <c r="AM35" s="38"/>
      <c r="AN35" s="39"/>
      <c r="AO35" s="36"/>
      <c r="AP35" s="40"/>
      <c r="AQ35" s="39"/>
      <c r="AR35" s="41"/>
      <c r="AS35" s="42"/>
      <c r="AT35" s="39"/>
      <c r="AU35" s="43"/>
    </row>
    <row r="36" spans="1:47" x14ac:dyDescent="0.35">
      <c r="A36" s="12">
        <f t="shared" si="6"/>
        <v>150</v>
      </c>
      <c r="C36" s="185" t="s">
        <v>135</v>
      </c>
      <c r="D36" s="17">
        <f t="shared" si="7"/>
        <v>2501</v>
      </c>
      <c r="E36">
        <f t="shared" si="8"/>
        <v>2502</v>
      </c>
      <c r="F36">
        <f t="shared" si="9"/>
        <v>2503</v>
      </c>
      <c r="G36" s="36">
        <f t="shared" si="10"/>
        <v>25</v>
      </c>
      <c r="H36" s="94">
        <v>7950</v>
      </c>
      <c r="I36" s="44">
        <v>7850</v>
      </c>
      <c r="J36" s="44">
        <v>7850</v>
      </c>
      <c r="K36" s="239">
        <f>IFERROR(H36*'Muraba Veil Sale Summary'!$F$8,0)</f>
        <v>22900213.994044799</v>
      </c>
      <c r="L36" s="240">
        <f>IFERROR(H36*$U$7*'Muraba Veil Sale Summary'!$G$8,0)</f>
        <v>4910526.06342912</v>
      </c>
      <c r="M36" s="237">
        <f t="shared" si="1"/>
        <v>27810740.05747392</v>
      </c>
      <c r="N36" s="242"/>
      <c r="O36" s="36">
        <f>IFERROR(I36*'Muraba Veil Sale Summary'!$F$6,0)</f>
        <v>17417304.078403197</v>
      </c>
      <c r="P36" s="40">
        <f>IFERROR($U$7*'Muraba Veil Sale Summary'!$G$6*I36,0)</f>
        <v>3813504.9127564798</v>
      </c>
      <c r="Q36" s="39">
        <f t="shared" si="2"/>
        <v>21230808.991159678</v>
      </c>
      <c r="R36" s="41">
        <f>J36*'Muraba Veil Sale Summary'!$F$6</f>
        <v>17417304.078403197</v>
      </c>
      <c r="S36" s="42">
        <f>J36*$U$7*'Muraba Veil Sale Summary'!$G$6</f>
        <v>3813504.9127564803</v>
      </c>
      <c r="T36" s="39">
        <f t="shared" si="3"/>
        <v>21230808.991159678</v>
      </c>
      <c r="U36" s="43">
        <f t="shared" si="4"/>
        <v>70272358.039793283</v>
      </c>
      <c r="V36" s="12"/>
      <c r="W36" s="12">
        <f t="shared" si="5"/>
        <v>0</v>
      </c>
      <c r="X36" s="12"/>
      <c r="Y36" s="183"/>
      <c r="Z36" s="183"/>
      <c r="AA36" s="12"/>
      <c r="AB36" s="12"/>
      <c r="AC36" s="12"/>
      <c r="AD36" s="12"/>
      <c r="AE36" s="12"/>
      <c r="AF36" s="12"/>
      <c r="AG36" s="12"/>
      <c r="AH36" s="25"/>
      <c r="AJ36" s="36"/>
      <c r="AK36" s="42"/>
      <c r="AL36" s="37"/>
      <c r="AM36" s="38"/>
      <c r="AN36" s="39"/>
      <c r="AO36" s="36"/>
      <c r="AP36" s="40"/>
      <c r="AQ36" s="39"/>
      <c r="AR36" s="41"/>
      <c r="AS36" s="42"/>
      <c r="AT36" s="39"/>
      <c r="AU36" s="43"/>
    </row>
    <row r="37" spans="1:47" x14ac:dyDescent="0.35">
      <c r="A37" s="12">
        <f t="shared" si="6"/>
        <v>150</v>
      </c>
      <c r="C37" s="185" t="s">
        <v>135</v>
      </c>
      <c r="D37" s="17">
        <f t="shared" si="7"/>
        <v>2601</v>
      </c>
      <c r="E37">
        <f t="shared" si="8"/>
        <v>2602</v>
      </c>
      <c r="F37">
        <f t="shared" si="9"/>
        <v>2603</v>
      </c>
      <c r="G37" s="36">
        <f t="shared" si="10"/>
        <v>26</v>
      </c>
      <c r="H37" s="94">
        <v>6549.9999307298485</v>
      </c>
      <c r="I37" s="44">
        <v>8000</v>
      </c>
      <c r="J37" s="44">
        <v>8000</v>
      </c>
      <c r="K37" s="239">
        <f>IFERROR(H37*'Muraba Veil Sale Summary'!$F$8,0)</f>
        <v>18867471.707508449</v>
      </c>
      <c r="L37" s="240">
        <f>IFERROR(H37*$U$7*'Muraba Veil Sale Summary'!$G$8,0)</f>
        <v>4045779.2924915538</v>
      </c>
      <c r="M37" s="237">
        <f t="shared" si="1"/>
        <v>22913251.000000004</v>
      </c>
      <c r="N37" s="242"/>
      <c r="O37" s="36">
        <f>IFERROR(I37*'Muraba Veil Sale Summary'!$F$6,0)</f>
        <v>17750118.806015998</v>
      </c>
      <c r="P37" s="40">
        <f>IFERROR($U$7*'Muraba Veil Sale Summary'!$G$6*I37,0)</f>
        <v>3886374.4333823998</v>
      </c>
      <c r="Q37" s="39">
        <f t="shared" si="2"/>
        <v>21636493.239398398</v>
      </c>
      <c r="R37" s="41">
        <f>J37*'Muraba Veil Sale Summary'!$F$6</f>
        <v>17750118.806015998</v>
      </c>
      <c r="S37" s="42">
        <f>J37*$U$7*'Muraba Veil Sale Summary'!$G$6</f>
        <v>3886374.4333824003</v>
      </c>
      <c r="T37" s="39">
        <f t="shared" si="3"/>
        <v>21636493.239398398</v>
      </c>
      <c r="U37" s="43">
        <f t="shared" si="4"/>
        <v>66186237.478796802</v>
      </c>
      <c r="V37" s="12"/>
      <c r="W37" s="12">
        <f t="shared" si="5"/>
        <v>0</v>
      </c>
      <c r="X37" s="12"/>
      <c r="Y37" s="183"/>
      <c r="Z37" s="183"/>
      <c r="AA37" s="12"/>
      <c r="AB37" s="12"/>
      <c r="AC37" s="12"/>
      <c r="AD37" s="12"/>
      <c r="AE37" s="12"/>
      <c r="AF37" s="12"/>
      <c r="AG37" s="12"/>
      <c r="AH37" s="25"/>
      <c r="AJ37" s="36"/>
      <c r="AK37" s="42"/>
      <c r="AL37" s="37"/>
      <c r="AM37" s="38"/>
      <c r="AN37" s="39"/>
      <c r="AO37" s="36"/>
      <c r="AP37" s="40"/>
      <c r="AQ37" s="39"/>
      <c r="AR37" s="41"/>
      <c r="AS37" s="42"/>
      <c r="AT37" s="39"/>
      <c r="AU37" s="43"/>
    </row>
    <row r="38" spans="1:47" x14ac:dyDescent="0.35">
      <c r="A38" s="12">
        <f t="shared" si="6"/>
        <v>150</v>
      </c>
      <c r="C38" s="185" t="s">
        <v>135</v>
      </c>
      <c r="D38" s="17">
        <f t="shared" si="7"/>
        <v>2701</v>
      </c>
      <c r="E38">
        <f t="shared" si="8"/>
        <v>2702</v>
      </c>
      <c r="F38">
        <f t="shared" si="9"/>
        <v>2703</v>
      </c>
      <c r="G38" s="36">
        <f t="shared" si="10"/>
        <v>27</v>
      </c>
      <c r="H38" s="94">
        <v>6650</v>
      </c>
      <c r="I38" s="44">
        <v>8150</v>
      </c>
      <c r="J38" s="44">
        <v>8150</v>
      </c>
      <c r="K38" s="239">
        <f>IFERROR(H38*'Muraba Veil Sale Summary'!$F$8,0)</f>
        <v>19155524.913257603</v>
      </c>
      <c r="L38" s="240">
        <f>IFERROR(H38*$U$7*'Muraba Veil Sale Summary'!$G$8,0)</f>
        <v>4107546.9587174403</v>
      </c>
      <c r="M38" s="237">
        <f t="shared" si="1"/>
        <v>23263071.871975042</v>
      </c>
      <c r="N38" s="242"/>
      <c r="O38" s="36">
        <f>IFERROR(I38*'Muraba Veil Sale Summary'!$F$6,0)</f>
        <v>18082933.533628799</v>
      </c>
      <c r="P38" s="40">
        <f>IFERROR($U$7*'Muraba Veil Sale Summary'!$G$6*I38,0)</f>
        <v>3959243.9540083199</v>
      </c>
      <c r="Q38" s="39">
        <f t="shared" si="2"/>
        <v>22042177.487637118</v>
      </c>
      <c r="R38" s="41">
        <f>J38*'Muraba Veil Sale Summary'!$F$6</f>
        <v>18082933.533628799</v>
      </c>
      <c r="S38" s="42">
        <f>J38*$U$7*'Muraba Veil Sale Summary'!$G$6</f>
        <v>3959243.9540083199</v>
      </c>
      <c r="T38" s="39">
        <f t="shared" si="3"/>
        <v>22042177.487637118</v>
      </c>
      <c r="U38" s="43">
        <f t="shared" si="4"/>
        <v>67347426.847249269</v>
      </c>
      <c r="V38" s="12"/>
      <c r="W38" s="12">
        <f t="shared" si="5"/>
        <v>0</v>
      </c>
      <c r="X38" s="12"/>
      <c r="Y38" s="183"/>
      <c r="Z38" s="183"/>
      <c r="AA38" s="12"/>
      <c r="AB38" s="12"/>
      <c r="AC38" s="12"/>
      <c r="AD38" s="12"/>
      <c r="AE38" s="12"/>
      <c r="AF38" s="12"/>
      <c r="AG38" s="12"/>
      <c r="AH38" s="25"/>
      <c r="AJ38" s="36"/>
      <c r="AK38" s="42"/>
      <c r="AL38" s="37"/>
      <c r="AM38" s="38"/>
      <c r="AN38" s="39"/>
      <c r="AO38" s="36"/>
      <c r="AP38" s="40"/>
      <c r="AQ38" s="39"/>
      <c r="AR38" s="41"/>
      <c r="AS38" s="42"/>
      <c r="AT38" s="39"/>
      <c r="AU38" s="43"/>
    </row>
    <row r="39" spans="1:47" x14ac:dyDescent="0.35">
      <c r="A39" s="12">
        <f t="shared" si="6"/>
        <v>-550</v>
      </c>
      <c r="C39" s="185" t="s">
        <v>135</v>
      </c>
      <c r="D39" s="17">
        <f t="shared" si="7"/>
        <v>2801</v>
      </c>
      <c r="E39" s="17">
        <f t="shared" si="8"/>
        <v>2802</v>
      </c>
      <c r="F39">
        <f t="shared" si="9"/>
        <v>2803</v>
      </c>
      <c r="G39" s="36">
        <f t="shared" si="10"/>
        <v>28</v>
      </c>
      <c r="H39" s="94">
        <v>6749.9999999999991</v>
      </c>
      <c r="I39" s="44">
        <v>7600</v>
      </c>
      <c r="J39" s="44">
        <v>7600</v>
      </c>
      <c r="K39" s="239">
        <f>IFERROR(H39*'Muraba Veil Sale Summary'!$F$8,0)</f>
        <v>19443577.919471998</v>
      </c>
      <c r="L39" s="240">
        <f>IFERROR(H39*$U$7*'Muraba Veil Sale Summary'!$G$8,0)</f>
        <v>4169314.5821567993</v>
      </c>
      <c r="M39" s="237">
        <f t="shared" si="1"/>
        <v>23612892.501628798</v>
      </c>
      <c r="N39" s="242"/>
      <c r="O39" s="235">
        <f>IFERROR(I39*'Muraba Veil Sale Summary'!$F$6,0)</f>
        <v>16862612.865715198</v>
      </c>
      <c r="P39" s="236">
        <f>IFERROR($U$7*'Muraba Veil Sale Summary'!$G$6*I39,0)</f>
        <v>3692055.7117132796</v>
      </c>
      <c r="Q39" s="237">
        <f t="shared" si="2"/>
        <v>20554668.577428479</v>
      </c>
      <c r="R39" s="41">
        <f>J39*'Muraba Veil Sale Summary'!$F$6</f>
        <v>16862612.865715198</v>
      </c>
      <c r="S39" s="42">
        <f>J39*$U$7*'Muraba Veil Sale Summary'!$G$6</f>
        <v>3692055.7117132801</v>
      </c>
      <c r="T39" s="39">
        <f t="shared" si="3"/>
        <v>20554668.577428479</v>
      </c>
      <c r="U39" s="43">
        <f t="shared" si="4"/>
        <v>64722229.656485751</v>
      </c>
      <c r="V39" s="12"/>
      <c r="W39" s="12">
        <f t="shared" si="5"/>
        <v>0</v>
      </c>
      <c r="X39" s="12"/>
      <c r="Y39" s="183"/>
      <c r="Z39" s="183"/>
      <c r="AA39" s="12"/>
      <c r="AB39" s="12"/>
      <c r="AC39" s="12"/>
      <c r="AD39" s="12"/>
      <c r="AE39" s="12"/>
      <c r="AF39" s="12"/>
      <c r="AG39" s="12"/>
      <c r="AH39" s="25"/>
      <c r="AJ39" s="36"/>
      <c r="AK39" s="42"/>
      <c r="AL39" s="37"/>
      <c r="AM39" s="38"/>
      <c r="AN39" s="39"/>
      <c r="AO39" s="36"/>
      <c r="AP39" s="40"/>
      <c r="AQ39" s="39"/>
      <c r="AR39" s="41"/>
      <c r="AS39" s="42"/>
      <c r="AT39" s="39"/>
      <c r="AU39" s="43"/>
    </row>
    <row r="40" spans="1:47" x14ac:dyDescent="0.35">
      <c r="A40" s="12">
        <f t="shared" si="6"/>
        <v>850</v>
      </c>
      <c r="C40" s="185" t="s">
        <v>135</v>
      </c>
      <c r="D40" s="17">
        <f t="shared" si="7"/>
        <v>2901</v>
      </c>
      <c r="E40">
        <f t="shared" si="8"/>
        <v>2902</v>
      </c>
      <c r="F40">
        <f t="shared" si="9"/>
        <v>2903</v>
      </c>
      <c r="G40" s="36">
        <f t="shared" si="10"/>
        <v>29</v>
      </c>
      <c r="H40" s="94">
        <v>6585.1642376838881</v>
      </c>
      <c r="I40" s="44">
        <v>8450</v>
      </c>
      <c r="J40" s="44">
        <v>8450</v>
      </c>
      <c r="K40" s="239">
        <f>IFERROR(H40*'Muraba Veil Sale Summary'!$F$8,0)</f>
        <v>18968763.550804019</v>
      </c>
      <c r="L40" s="240">
        <f>IFERROR(H40*$U$7*'Muraba Veil Sale Summary'!$G$8,0)</f>
        <v>4067499.4491959857</v>
      </c>
      <c r="M40" s="237">
        <f t="shared" si="1"/>
        <v>23036263.000000004</v>
      </c>
      <c r="N40" s="242"/>
      <c r="O40" s="36">
        <f>IFERROR(I40*'Muraba Veil Sale Summary'!$F$6,0)</f>
        <v>18748562.988854397</v>
      </c>
      <c r="P40" s="40">
        <f>IFERROR($U$7*'Muraba Veil Sale Summary'!$G$6*I40,0)</f>
        <v>4104982.9952601595</v>
      </c>
      <c r="Q40" s="39">
        <f t="shared" si="2"/>
        <v>22853545.984114558</v>
      </c>
      <c r="R40" s="41">
        <f>J40*'Muraba Veil Sale Summary'!$F$6</f>
        <v>18748562.988854397</v>
      </c>
      <c r="S40" s="42">
        <f>J40*$U$7*'Muraba Veil Sale Summary'!$G$6</f>
        <v>4104982.99526016</v>
      </c>
      <c r="T40" s="39">
        <f t="shared" si="3"/>
        <v>22853545.984114558</v>
      </c>
      <c r="U40" s="43">
        <f t="shared" si="4"/>
        <v>68743354.968229115</v>
      </c>
      <c r="V40" s="12"/>
      <c r="W40" s="12">
        <f t="shared" si="5"/>
        <v>0</v>
      </c>
      <c r="X40" s="12"/>
      <c r="Y40" s="183"/>
      <c r="Z40" s="183"/>
      <c r="AA40" s="12"/>
      <c r="AB40" s="12"/>
      <c r="AC40" s="12"/>
      <c r="AD40" s="12"/>
      <c r="AE40" s="12"/>
      <c r="AF40" s="12"/>
      <c r="AG40" s="12"/>
      <c r="AH40" s="25"/>
      <c r="AJ40" s="36"/>
      <c r="AK40" s="42"/>
      <c r="AL40" s="37"/>
      <c r="AM40" s="38"/>
      <c r="AN40" s="39"/>
      <c r="AO40" s="36"/>
      <c r="AP40" s="40"/>
      <c r="AQ40" s="39"/>
      <c r="AR40" s="41"/>
      <c r="AS40" s="42"/>
      <c r="AT40" s="39"/>
      <c r="AU40" s="43"/>
    </row>
    <row r="41" spans="1:47" x14ac:dyDescent="0.35">
      <c r="A41" s="12">
        <f t="shared" si="6"/>
        <v>150</v>
      </c>
      <c r="C41" s="185" t="s">
        <v>135</v>
      </c>
      <c r="D41" s="245">
        <f t="shared" si="7"/>
        <v>3001</v>
      </c>
      <c r="E41">
        <f t="shared" si="8"/>
        <v>3002</v>
      </c>
      <c r="F41" s="245">
        <f t="shared" si="9"/>
        <v>3003</v>
      </c>
      <c r="G41" s="45">
        <f>G40+1</f>
        <v>30</v>
      </c>
      <c r="H41" s="249">
        <v>6602.4999791637492</v>
      </c>
      <c r="I41" s="46">
        <v>8600</v>
      </c>
      <c r="J41" s="250">
        <v>8600</v>
      </c>
      <c r="K41" s="251">
        <f>IFERROR(H41*'Muraba Veil Sale Summary'!$F$8,0)</f>
        <v>19018699.675286315</v>
      </c>
      <c r="L41" s="252">
        <f>IFERROR(H41*$U$7*'Muraba Veil Sale Summary'!$G$8,0)</f>
        <v>4078207.3247136874</v>
      </c>
      <c r="M41" s="248">
        <f t="shared" si="1"/>
        <v>23096907.000000004</v>
      </c>
      <c r="N41" s="263"/>
      <c r="O41" s="36">
        <f>IFERROR(I41*'Muraba Veil Sale Summary'!$F$6,0)</f>
        <v>19081377.716467198</v>
      </c>
      <c r="P41" s="40">
        <f>IFERROR($U$7*'Muraba Veil Sale Summary'!$G$6*I41,0)</f>
        <v>4177852.5158860795</v>
      </c>
      <c r="Q41" s="47">
        <f>O41+P41</f>
        <v>23259230.232353278</v>
      </c>
      <c r="R41" s="253">
        <f>J41*'Muraba Veil Sale Summary'!$F$6</f>
        <v>19081377.716467198</v>
      </c>
      <c r="S41" s="249">
        <f>J41*$U$7*'Muraba Veil Sale Summary'!$G$6</f>
        <v>4177852.51588608</v>
      </c>
      <c r="T41" s="248">
        <f t="shared" si="3"/>
        <v>23259230.232353278</v>
      </c>
      <c r="U41" s="49">
        <f>M41+Q41+T41</f>
        <v>69615367.46470657</v>
      </c>
      <c r="V41" s="12"/>
      <c r="W41" s="12">
        <f t="shared" si="5"/>
        <v>0</v>
      </c>
      <c r="X41" s="12"/>
      <c r="Y41" s="183"/>
      <c r="Z41" s="183"/>
      <c r="AA41" s="12"/>
      <c r="AB41" s="12"/>
      <c r="AC41" s="12"/>
      <c r="AD41" s="12"/>
      <c r="AE41" s="12"/>
      <c r="AF41" s="12"/>
      <c r="AG41" s="12"/>
      <c r="AH41" s="25"/>
      <c r="AJ41" s="45"/>
      <c r="AK41" s="46"/>
      <c r="AL41" s="178"/>
      <c r="AM41" s="179"/>
      <c r="AN41" s="47"/>
      <c r="AO41" s="45"/>
      <c r="AP41" s="180"/>
      <c r="AQ41" s="47"/>
      <c r="AR41" s="48"/>
      <c r="AS41" s="46"/>
      <c r="AT41" s="47"/>
      <c r="AU41" s="49"/>
    </row>
    <row r="42" spans="1:47" x14ac:dyDescent="0.35">
      <c r="A42" s="12">
        <f t="shared" si="6"/>
        <v>150</v>
      </c>
      <c r="C42" s="185" t="s">
        <v>136</v>
      </c>
      <c r="D42">
        <f>IF(G42="","",D41+300)</f>
        <v>3301</v>
      </c>
      <c r="E42">
        <f>IF(G42="","",E41+300)</f>
        <v>3302</v>
      </c>
      <c r="F42">
        <f>IF(G42="","",F41+300)</f>
        <v>3303</v>
      </c>
      <c r="G42" s="45">
        <f>G41+3</f>
        <v>33</v>
      </c>
      <c r="H42" s="50">
        <f>H34+150</f>
        <v>7350</v>
      </c>
      <c r="I42" s="51">
        <v>8750</v>
      </c>
      <c r="J42" s="233">
        <v>8750</v>
      </c>
      <c r="K42" s="37">
        <f>IFERROR(H42*'Muraba Veil Sale Summary'!$F$8,0)</f>
        <v>21171895.956758402</v>
      </c>
      <c r="L42" s="38">
        <f>IFERROR(H42*$U$7*'Muraba Veil Sale Summary'!$G$8,0)</f>
        <v>4539920.3227929603</v>
      </c>
      <c r="M42" s="244">
        <f t="shared" ref="M42:M45" si="12">L42+K42</f>
        <v>25711816.279551364</v>
      </c>
      <c r="N42" s="233"/>
      <c r="O42" s="36">
        <f>IFERROR(I42*'Muraba Veil Sale Summary'!$F$6,0)</f>
        <v>19414192.444079999</v>
      </c>
      <c r="P42" s="40">
        <f>IFERROR($U$7*'Muraba Veil Sale Summary'!$G$6*I42,0)</f>
        <v>4250722.0365119996</v>
      </c>
      <c r="Q42" s="244">
        <f t="shared" ref="Q42:Q45" si="13">O42+P42</f>
        <v>23664914.480591998</v>
      </c>
      <c r="R42" s="41">
        <f>J42*'Muraba Veil Sale Summary'!$F$6</f>
        <v>19414192.444079999</v>
      </c>
      <c r="S42" s="42">
        <f>J42*$U$7*'Muraba Veil Sale Summary'!$G$6</f>
        <v>4250722.0365120005</v>
      </c>
      <c r="T42" s="39">
        <f t="shared" si="3"/>
        <v>23664914.480591998</v>
      </c>
      <c r="U42" s="254">
        <f t="shared" ref="U42:U45" si="14">M42+Q42+T42</f>
        <v>73041645.240735352</v>
      </c>
      <c r="V42" s="12"/>
      <c r="W42" s="12">
        <f t="shared" si="5"/>
        <v>0</v>
      </c>
      <c r="X42" s="12"/>
      <c r="Y42" s="183"/>
      <c r="Z42" s="183"/>
      <c r="AA42" s="12"/>
      <c r="AB42" s="12"/>
      <c r="AC42" s="12"/>
      <c r="AD42" s="12"/>
      <c r="AE42" s="12"/>
      <c r="AF42" s="12"/>
      <c r="AG42" s="12"/>
      <c r="AH42" s="25"/>
      <c r="AJ42" s="45"/>
      <c r="AK42" s="46"/>
      <c r="AL42" s="178"/>
      <c r="AM42" s="179"/>
      <c r="AN42" s="47"/>
      <c r="AO42" s="45"/>
      <c r="AP42" s="180"/>
      <c r="AQ42" s="47"/>
      <c r="AR42" s="48"/>
      <c r="AS42" s="46"/>
      <c r="AT42" s="47"/>
      <c r="AU42" s="49"/>
    </row>
    <row r="43" spans="1:47" x14ac:dyDescent="0.35">
      <c r="A43" s="12">
        <f t="shared" si="6"/>
        <v>150</v>
      </c>
      <c r="C43" s="185" t="s">
        <v>136</v>
      </c>
      <c r="D43">
        <f t="shared" ref="D43:D56" si="15">IF(G43="","",D42+100)</f>
        <v>3401</v>
      </c>
      <c r="E43">
        <f t="shared" ref="E43:E56" si="16">IF(G43="","",E42+100)</f>
        <v>3402</v>
      </c>
      <c r="F43">
        <f t="shared" ref="F43:F56" si="17">IF(G43="","",F42+100)</f>
        <v>3403</v>
      </c>
      <c r="G43" s="45">
        <f t="shared" ref="G43:G66" si="18">G42+1</f>
        <v>34</v>
      </c>
      <c r="H43" s="50">
        <f>H42+150</f>
        <v>7500</v>
      </c>
      <c r="I43" s="51">
        <v>8900</v>
      </c>
      <c r="J43" s="233">
        <v>8900</v>
      </c>
      <c r="K43" s="37">
        <f>IFERROR(H43*'Muraba Veil Sale Summary'!$F$8,0)</f>
        <v>21603975.466080002</v>
      </c>
      <c r="L43" s="38">
        <f>IFERROR(H43*$U$7*'Muraba Veil Sale Summary'!$G$8,0)</f>
        <v>4632571.757952</v>
      </c>
      <c r="M43" s="47">
        <f t="shared" si="12"/>
        <v>26236547.224032003</v>
      </c>
      <c r="N43" s="264"/>
      <c r="O43" s="36">
        <f>IFERROR(I43*'Muraba Veil Sale Summary'!$F$6,0)</f>
        <v>19747007.1716928</v>
      </c>
      <c r="P43" s="40">
        <f>IFERROR($U$7*'Muraba Veil Sale Summary'!$G$6*I43,0)</f>
        <v>4323591.5571379196</v>
      </c>
      <c r="Q43" s="47">
        <f t="shared" si="13"/>
        <v>24070598.728830718</v>
      </c>
      <c r="R43" s="41">
        <f>J43*'Muraba Veil Sale Summary'!$F$6</f>
        <v>19747007.1716928</v>
      </c>
      <c r="S43" s="42">
        <f>J43*$U$7*'Muraba Veil Sale Summary'!$G$6</f>
        <v>4323591.5571379205</v>
      </c>
      <c r="T43" s="39">
        <f t="shared" si="3"/>
        <v>24070598.728830721</v>
      </c>
      <c r="U43" s="49">
        <f t="shared" si="14"/>
        <v>74377744.68169345</v>
      </c>
      <c r="V43" s="12"/>
      <c r="W43" s="12">
        <f t="shared" si="5"/>
        <v>0</v>
      </c>
      <c r="X43" s="12"/>
      <c r="Y43" s="183"/>
      <c r="Z43" s="183"/>
      <c r="AA43" s="12"/>
      <c r="AB43" s="12"/>
      <c r="AC43" s="12"/>
      <c r="AD43" s="12"/>
      <c r="AE43" s="12"/>
      <c r="AF43" s="12"/>
      <c r="AG43" s="12"/>
      <c r="AH43" s="25"/>
      <c r="AJ43" s="45"/>
      <c r="AK43" s="46"/>
      <c r="AL43" s="178"/>
      <c r="AM43" s="179"/>
      <c r="AN43" s="47"/>
      <c r="AO43" s="45"/>
      <c r="AP43" s="180"/>
      <c r="AQ43" s="47"/>
      <c r="AR43" s="48"/>
      <c r="AS43" s="46"/>
      <c r="AT43" s="47"/>
      <c r="AU43" s="49"/>
    </row>
    <row r="44" spans="1:47" x14ac:dyDescent="0.35">
      <c r="A44" s="12">
        <f t="shared" si="6"/>
        <v>150</v>
      </c>
      <c r="C44" s="185" t="s">
        <v>136</v>
      </c>
      <c r="D44">
        <f t="shared" si="15"/>
        <v>3501</v>
      </c>
      <c r="E44">
        <f t="shared" si="16"/>
        <v>3502</v>
      </c>
      <c r="F44">
        <f t="shared" si="17"/>
        <v>3503</v>
      </c>
      <c r="G44" s="45">
        <f t="shared" si="18"/>
        <v>35</v>
      </c>
      <c r="H44" s="50">
        <f t="shared" ref="H44:H66" si="19">H43+150</f>
        <v>7650</v>
      </c>
      <c r="I44" s="51">
        <v>9050</v>
      </c>
      <c r="J44" s="233">
        <v>9050</v>
      </c>
      <c r="K44" s="37">
        <f>IFERROR(H44*'Muraba Veil Sale Summary'!$F$8,0)</f>
        <v>22036054.975401603</v>
      </c>
      <c r="L44" s="38">
        <f>IFERROR(H44*$U$7*'Muraba Veil Sale Summary'!$G$8,0)</f>
        <v>4725223.1931110406</v>
      </c>
      <c r="M44" s="47">
        <f t="shared" si="12"/>
        <v>26761278.168512642</v>
      </c>
      <c r="N44" s="264"/>
      <c r="O44" s="36">
        <f>IFERROR(I44*'Muraba Veil Sale Summary'!$F$6,0)</f>
        <v>20079821.899305597</v>
      </c>
      <c r="P44" s="40">
        <f>IFERROR($U$7*'Muraba Veil Sale Summary'!$G$6*I44,0)</f>
        <v>4396461.0777638396</v>
      </c>
      <c r="Q44" s="47">
        <f t="shared" si="13"/>
        <v>24476282.977069438</v>
      </c>
      <c r="R44" s="41">
        <f>J44*'Muraba Veil Sale Summary'!$F$6</f>
        <v>20079821.899305597</v>
      </c>
      <c r="S44" s="42">
        <f>J44*$U$7*'Muraba Veil Sale Summary'!$G$6</f>
        <v>4396461.0777638406</v>
      </c>
      <c r="T44" s="39">
        <f t="shared" si="3"/>
        <v>24476282.977069438</v>
      </c>
      <c r="U44" s="49">
        <f t="shared" si="14"/>
        <v>75713844.122651517</v>
      </c>
      <c r="V44" s="12"/>
      <c r="W44" s="12">
        <f t="shared" si="5"/>
        <v>0</v>
      </c>
      <c r="X44" s="12"/>
      <c r="Y44" s="183"/>
      <c r="Z44" s="183"/>
      <c r="AA44" s="12"/>
      <c r="AB44" s="12"/>
      <c r="AC44" s="12"/>
      <c r="AD44" s="12"/>
      <c r="AE44" s="12"/>
      <c r="AF44" s="12"/>
      <c r="AG44" s="12"/>
      <c r="AH44" s="25"/>
      <c r="AJ44" s="45"/>
      <c r="AK44" s="46"/>
      <c r="AL44" s="178"/>
      <c r="AM44" s="179"/>
      <c r="AN44" s="47"/>
      <c r="AO44" s="45"/>
      <c r="AP44" s="180"/>
      <c r="AQ44" s="47"/>
      <c r="AR44" s="48"/>
      <c r="AS44" s="46"/>
      <c r="AT44" s="47"/>
      <c r="AU44" s="49"/>
    </row>
    <row r="45" spans="1:47" x14ac:dyDescent="0.35">
      <c r="A45" s="12">
        <f t="shared" si="6"/>
        <v>150</v>
      </c>
      <c r="C45" s="185" t="s">
        <v>136</v>
      </c>
      <c r="D45">
        <f t="shared" si="15"/>
        <v>3601</v>
      </c>
      <c r="E45">
        <f t="shared" si="16"/>
        <v>3602</v>
      </c>
      <c r="F45">
        <f t="shared" si="17"/>
        <v>3603</v>
      </c>
      <c r="G45" s="45">
        <f t="shared" si="18"/>
        <v>36</v>
      </c>
      <c r="H45" s="50">
        <f t="shared" si="19"/>
        <v>7800</v>
      </c>
      <c r="I45" s="51">
        <v>9200</v>
      </c>
      <c r="J45" s="233">
        <v>9200</v>
      </c>
      <c r="K45" s="37">
        <f>IFERROR(H45*'Muraba Veil Sale Summary'!$F$8,0)</f>
        <v>22468134.484723199</v>
      </c>
      <c r="L45" s="38">
        <f>IFERROR(H45*$U$7*'Muraba Veil Sale Summary'!$G$8,0)</f>
        <v>4817874.6282700803</v>
      </c>
      <c r="M45" s="47">
        <f t="shared" si="12"/>
        <v>27286009.112993278</v>
      </c>
      <c r="N45" s="264"/>
      <c r="O45" s="36">
        <f>IFERROR(I45*'Muraba Veil Sale Summary'!$F$6,0)</f>
        <v>20412636.626918398</v>
      </c>
      <c r="P45" s="40">
        <f>IFERROR($U$7*'Muraba Veil Sale Summary'!$G$6*I45,0)</f>
        <v>4469330.5983897597</v>
      </c>
      <c r="Q45" s="47">
        <f t="shared" si="13"/>
        <v>24881967.225308158</v>
      </c>
      <c r="R45" s="41">
        <f>J45*'Muraba Veil Sale Summary'!$F$6</f>
        <v>20412636.626918398</v>
      </c>
      <c r="S45" s="42">
        <f>J45*$U$7*'Muraba Veil Sale Summary'!$G$6</f>
        <v>4469330.5983897597</v>
      </c>
      <c r="T45" s="39">
        <f t="shared" si="3"/>
        <v>24881967.225308158</v>
      </c>
      <c r="U45" s="49">
        <f t="shared" si="14"/>
        <v>77049943.5636096</v>
      </c>
      <c r="V45" s="12"/>
      <c r="W45" s="12">
        <f t="shared" si="5"/>
        <v>0</v>
      </c>
      <c r="X45" s="12"/>
      <c r="Y45" s="183"/>
      <c r="Z45" s="183"/>
      <c r="AA45" s="12"/>
      <c r="AB45" s="12"/>
      <c r="AC45" s="12"/>
      <c r="AD45" s="12"/>
      <c r="AE45" s="12"/>
      <c r="AF45" s="12"/>
      <c r="AG45" s="12"/>
      <c r="AH45" s="25"/>
      <c r="AJ45" s="45"/>
      <c r="AK45" s="46"/>
      <c r="AL45" s="178"/>
      <c r="AM45" s="179"/>
      <c r="AN45" s="47"/>
      <c r="AO45" s="45"/>
      <c r="AP45" s="180"/>
      <c r="AQ45" s="47"/>
      <c r="AR45" s="48"/>
      <c r="AS45" s="46"/>
      <c r="AT45" s="47"/>
      <c r="AU45" s="49"/>
    </row>
    <row r="46" spans="1:47" x14ac:dyDescent="0.35">
      <c r="A46" s="12">
        <f t="shared" si="6"/>
        <v>150</v>
      </c>
      <c r="C46" s="185" t="s">
        <v>136</v>
      </c>
      <c r="D46">
        <f t="shared" si="15"/>
        <v>3701</v>
      </c>
      <c r="E46">
        <f t="shared" si="16"/>
        <v>3702</v>
      </c>
      <c r="F46">
        <f t="shared" si="17"/>
        <v>3703</v>
      </c>
      <c r="G46" s="45">
        <f t="shared" si="18"/>
        <v>37</v>
      </c>
      <c r="H46" s="50">
        <f t="shared" si="19"/>
        <v>7950</v>
      </c>
      <c r="I46" s="51">
        <v>9350</v>
      </c>
      <c r="J46" s="233">
        <v>9350</v>
      </c>
      <c r="K46" s="37">
        <f>IFERROR(H46*'Muraba Veil Sale Summary'!$F$8,0)</f>
        <v>22900213.994044799</v>
      </c>
      <c r="L46" s="38">
        <f>IFERROR(H46*$U$7*'Muraba Veil Sale Summary'!$G$8,0)</f>
        <v>4910526.06342912</v>
      </c>
      <c r="M46" s="47">
        <f t="shared" ref="M46" si="20">L46+K46</f>
        <v>27810740.05747392</v>
      </c>
      <c r="N46" s="264"/>
      <c r="O46" s="36">
        <f>IFERROR(I46*'Muraba Veil Sale Summary'!$F$6,0)</f>
        <v>20745451.354531199</v>
      </c>
      <c r="P46" s="40">
        <f>IFERROR($U$7*'Muraba Veil Sale Summary'!$G$6*I46,0)</f>
        <v>4542200.1190156797</v>
      </c>
      <c r="Q46" s="47">
        <f t="shared" ref="Q46" si="21">O46+P46</f>
        <v>25287651.473546878</v>
      </c>
      <c r="R46" s="41">
        <f>J46*'Muraba Veil Sale Summary'!$F$6</f>
        <v>20745451.354531199</v>
      </c>
      <c r="S46" s="42">
        <f>J46*$U$7*'Muraba Veil Sale Summary'!$G$6</f>
        <v>4542200.1190156797</v>
      </c>
      <c r="T46" s="39">
        <f t="shared" si="3"/>
        <v>25287651.473546878</v>
      </c>
      <c r="U46" s="49">
        <f t="shared" ref="U46" si="22">M46+Q46+T46</f>
        <v>78386043.004567683</v>
      </c>
      <c r="V46" s="12"/>
      <c r="W46" s="12">
        <f t="shared" si="5"/>
        <v>0</v>
      </c>
      <c r="X46" s="12"/>
      <c r="Y46" s="183"/>
      <c r="Z46" s="183"/>
      <c r="AA46" s="12"/>
      <c r="AB46" s="12"/>
      <c r="AC46" s="12"/>
      <c r="AD46" s="12"/>
      <c r="AE46" s="12"/>
      <c r="AF46" s="12"/>
      <c r="AG46" s="12"/>
      <c r="AH46" s="25"/>
      <c r="AJ46" s="45"/>
      <c r="AK46" s="46"/>
      <c r="AL46" s="178"/>
      <c r="AM46" s="179"/>
      <c r="AN46" s="47"/>
      <c r="AO46" s="45"/>
      <c r="AP46" s="180"/>
      <c r="AQ46" s="47"/>
      <c r="AR46" s="48"/>
      <c r="AS46" s="46"/>
      <c r="AT46" s="47"/>
      <c r="AU46" s="49"/>
    </row>
    <row r="47" spans="1:47" x14ac:dyDescent="0.35">
      <c r="A47" s="12">
        <f t="shared" si="6"/>
        <v>150</v>
      </c>
      <c r="C47" s="185" t="s">
        <v>136</v>
      </c>
      <c r="D47">
        <f t="shared" si="15"/>
        <v>3801</v>
      </c>
      <c r="E47">
        <f t="shared" si="16"/>
        <v>3802</v>
      </c>
      <c r="F47">
        <f t="shared" si="17"/>
        <v>3803</v>
      </c>
      <c r="G47" s="45">
        <f t="shared" si="18"/>
        <v>38</v>
      </c>
      <c r="H47" s="50">
        <f t="shared" si="19"/>
        <v>8100</v>
      </c>
      <c r="I47" s="51">
        <v>9500</v>
      </c>
      <c r="J47" s="233">
        <v>9500</v>
      </c>
      <c r="K47" s="37">
        <f>IFERROR(H47*'Muraba Veil Sale Summary'!$F$8,0)</f>
        <v>23332293.5033664</v>
      </c>
      <c r="L47" s="38">
        <f>IFERROR(H47*$U$7*'Muraba Veil Sale Summary'!$G$8,0)</f>
        <v>5003177.4985881606</v>
      </c>
      <c r="M47" s="47">
        <f t="shared" ref="M47:M56" si="23">L47+K47</f>
        <v>28335471.001954559</v>
      </c>
      <c r="N47" s="264"/>
      <c r="O47" s="36">
        <f>IFERROR(I47*'Muraba Veil Sale Summary'!$F$6,0)</f>
        <v>21078266.082144</v>
      </c>
      <c r="P47" s="40">
        <f>IFERROR($U$7*'Muraba Veil Sale Summary'!$G$6*I47,0)</f>
        <v>4615069.6396415997</v>
      </c>
      <c r="Q47" s="47">
        <f t="shared" ref="Q47:Q56" si="24">O47+P47</f>
        <v>25693335.721785598</v>
      </c>
      <c r="R47" s="41">
        <f>J47*'Muraba Veil Sale Summary'!$F$6</f>
        <v>21078266.082144</v>
      </c>
      <c r="S47" s="42">
        <f>J47*$U$7*'Muraba Veil Sale Summary'!$G$6</f>
        <v>4615069.6396415997</v>
      </c>
      <c r="T47" s="39">
        <f t="shared" si="3"/>
        <v>25693335.721785598</v>
      </c>
      <c r="U47" s="49">
        <f t="shared" ref="U47:U56" si="25">M47+Q47+T47</f>
        <v>79722142.445525765</v>
      </c>
      <c r="V47" s="12"/>
      <c r="W47" s="12">
        <f t="shared" si="5"/>
        <v>0</v>
      </c>
      <c r="X47" s="12"/>
      <c r="Y47" s="183"/>
      <c r="Z47" s="183"/>
      <c r="AA47" s="12"/>
      <c r="AB47" s="12"/>
      <c r="AC47" s="12"/>
      <c r="AD47" s="12"/>
      <c r="AE47" s="12"/>
      <c r="AF47" s="12"/>
      <c r="AG47" s="12"/>
      <c r="AH47" s="25"/>
      <c r="AJ47" s="45"/>
      <c r="AK47" s="46"/>
      <c r="AL47" s="178"/>
      <c r="AM47" s="179"/>
      <c r="AN47" s="47"/>
      <c r="AO47" s="45"/>
      <c r="AP47" s="180"/>
      <c r="AQ47" s="47"/>
      <c r="AR47" s="48"/>
      <c r="AS47" s="46"/>
      <c r="AT47" s="47"/>
      <c r="AU47" s="49"/>
    </row>
    <row r="48" spans="1:47" x14ac:dyDescent="0.35">
      <c r="A48" s="12">
        <f t="shared" si="6"/>
        <v>150</v>
      </c>
      <c r="C48" s="185" t="s">
        <v>136</v>
      </c>
      <c r="D48">
        <f t="shared" si="15"/>
        <v>3901</v>
      </c>
      <c r="E48">
        <f t="shared" si="16"/>
        <v>3902</v>
      </c>
      <c r="F48">
        <f t="shared" si="17"/>
        <v>3903</v>
      </c>
      <c r="G48" s="45">
        <f t="shared" si="18"/>
        <v>39</v>
      </c>
      <c r="H48" s="50">
        <f t="shared" si="19"/>
        <v>8250</v>
      </c>
      <c r="I48" s="51">
        <v>9650</v>
      </c>
      <c r="J48" s="233">
        <v>9650</v>
      </c>
      <c r="K48" s="37">
        <f>IFERROR(H48*'Muraba Veil Sale Summary'!$F$8,0)</f>
        <v>23764373.012688</v>
      </c>
      <c r="L48" s="38">
        <f>IFERROR(H48*$U$7*'Muraba Veil Sale Summary'!$G$8,0)</f>
        <v>5095828.9337472003</v>
      </c>
      <c r="M48" s="47">
        <f t="shared" si="23"/>
        <v>28860201.946435198</v>
      </c>
      <c r="N48" s="264"/>
      <c r="O48" s="36">
        <f>IFERROR(I48*'Muraba Veil Sale Summary'!$F$6,0)</f>
        <v>21411080.809756797</v>
      </c>
      <c r="P48" s="40">
        <f>IFERROR($U$7*'Muraba Veil Sale Summary'!$G$6*I48,0)</f>
        <v>4687939.1602675198</v>
      </c>
      <c r="Q48" s="47">
        <f t="shared" si="24"/>
        <v>26099019.970024318</v>
      </c>
      <c r="R48" s="41">
        <f>J48*'Muraba Veil Sale Summary'!$F$6</f>
        <v>21411080.809756797</v>
      </c>
      <c r="S48" s="42">
        <f>J48*$U$7*'Muraba Veil Sale Summary'!$G$6</f>
        <v>4687939.1602675198</v>
      </c>
      <c r="T48" s="39">
        <f t="shared" si="3"/>
        <v>26099019.970024318</v>
      </c>
      <c r="U48" s="49">
        <f t="shared" si="25"/>
        <v>81058241.886483833</v>
      </c>
      <c r="V48" s="12"/>
      <c r="W48" s="12">
        <f t="shared" si="5"/>
        <v>0</v>
      </c>
      <c r="X48" s="12"/>
      <c r="Y48" s="183"/>
      <c r="Z48" s="183"/>
      <c r="AA48" s="12"/>
      <c r="AB48" s="12"/>
      <c r="AC48" s="12"/>
      <c r="AD48" s="12"/>
      <c r="AE48" s="12"/>
      <c r="AF48" s="12"/>
      <c r="AG48" s="12"/>
      <c r="AH48" s="25"/>
      <c r="AJ48" s="45"/>
      <c r="AK48" s="46"/>
      <c r="AL48" s="178"/>
      <c r="AM48" s="179"/>
      <c r="AN48" s="47"/>
      <c r="AO48" s="45"/>
      <c r="AP48" s="180"/>
      <c r="AQ48" s="47"/>
      <c r="AR48" s="48"/>
      <c r="AS48" s="46"/>
      <c r="AT48" s="47"/>
      <c r="AU48" s="49"/>
    </row>
    <row r="49" spans="1:47" x14ac:dyDescent="0.35">
      <c r="A49" s="12">
        <f t="shared" si="6"/>
        <v>150</v>
      </c>
      <c r="C49" s="185" t="s">
        <v>136</v>
      </c>
      <c r="D49">
        <f t="shared" si="15"/>
        <v>4001</v>
      </c>
      <c r="E49">
        <f t="shared" si="16"/>
        <v>4002</v>
      </c>
      <c r="F49">
        <f t="shared" si="17"/>
        <v>4003</v>
      </c>
      <c r="G49" s="45">
        <f t="shared" si="18"/>
        <v>40</v>
      </c>
      <c r="H49" s="50">
        <f t="shared" si="19"/>
        <v>8400</v>
      </c>
      <c r="I49" s="51">
        <v>9800</v>
      </c>
      <c r="J49" s="233">
        <v>9800</v>
      </c>
      <c r="K49" s="37">
        <f>IFERROR(H49*'Muraba Veil Sale Summary'!$F$8,0)</f>
        <v>24196452.5220096</v>
      </c>
      <c r="L49" s="38">
        <f>IFERROR(H49*$U$7*'Muraba Veil Sale Summary'!$G$8,0)</f>
        <v>5188480.36890624</v>
      </c>
      <c r="M49" s="47">
        <f t="shared" si="23"/>
        <v>29384932.890915841</v>
      </c>
      <c r="N49" s="264"/>
      <c r="O49" s="36">
        <f>IFERROR(I49*'Muraba Veil Sale Summary'!$F$6,0)</f>
        <v>21743895.537369598</v>
      </c>
      <c r="P49" s="40">
        <f>IFERROR($U$7*'Muraba Veil Sale Summary'!$G$6*I49,0)</f>
        <v>4760808.6808934398</v>
      </c>
      <c r="Q49" s="47">
        <f t="shared" si="24"/>
        <v>26504704.218263038</v>
      </c>
      <c r="R49" s="41">
        <f>J49*'Muraba Veil Sale Summary'!$F$6</f>
        <v>21743895.537369598</v>
      </c>
      <c r="S49" s="42">
        <f>J49*$U$7*'Muraba Veil Sale Summary'!$G$6</f>
        <v>4760808.6808934398</v>
      </c>
      <c r="T49" s="39">
        <f t="shared" si="3"/>
        <v>26504704.218263038</v>
      </c>
      <c r="U49" s="49">
        <f t="shared" si="25"/>
        <v>82394341.327441916</v>
      </c>
      <c r="V49" s="12"/>
      <c r="W49" s="12">
        <f t="shared" si="5"/>
        <v>0</v>
      </c>
      <c r="X49" s="12"/>
      <c r="Y49" s="183"/>
      <c r="Z49" s="183"/>
      <c r="AA49" s="12"/>
      <c r="AB49" s="12"/>
      <c r="AC49" s="12"/>
      <c r="AD49" s="12"/>
      <c r="AE49" s="12"/>
      <c r="AF49" s="12"/>
      <c r="AG49" s="12"/>
      <c r="AH49" s="25"/>
      <c r="AJ49" s="45"/>
      <c r="AK49" s="46"/>
      <c r="AL49" s="178"/>
      <c r="AM49" s="179"/>
      <c r="AN49" s="47"/>
      <c r="AO49" s="45"/>
      <c r="AP49" s="180"/>
      <c r="AQ49" s="47"/>
      <c r="AR49" s="48"/>
      <c r="AS49" s="46"/>
      <c r="AT49" s="47"/>
      <c r="AU49" s="49"/>
    </row>
    <row r="50" spans="1:47" x14ac:dyDescent="0.35">
      <c r="A50" s="12">
        <f t="shared" si="6"/>
        <v>150</v>
      </c>
      <c r="C50" s="185" t="s">
        <v>136</v>
      </c>
      <c r="D50">
        <f t="shared" si="15"/>
        <v>4101</v>
      </c>
      <c r="E50">
        <f t="shared" si="16"/>
        <v>4102</v>
      </c>
      <c r="F50">
        <f t="shared" si="17"/>
        <v>4103</v>
      </c>
      <c r="G50" s="45">
        <f t="shared" si="18"/>
        <v>41</v>
      </c>
      <c r="H50" s="50">
        <f t="shared" si="19"/>
        <v>8550</v>
      </c>
      <c r="I50" s="51">
        <v>9950</v>
      </c>
      <c r="J50" s="233">
        <v>9950</v>
      </c>
      <c r="K50" s="37">
        <f>IFERROR(H50*'Muraba Veil Sale Summary'!$F$8,0)</f>
        <v>24628532.0313312</v>
      </c>
      <c r="L50" s="38">
        <f>IFERROR(H50*$U$7*'Muraba Veil Sale Summary'!$G$8,0)</f>
        <v>5281131.8040652806</v>
      </c>
      <c r="M50" s="47">
        <f t="shared" si="23"/>
        <v>29909663.83539648</v>
      </c>
      <c r="N50" s="264"/>
      <c r="O50" s="36">
        <f>IFERROR(I50*'Muraba Veil Sale Summary'!$F$6,0)</f>
        <v>22076710.264982399</v>
      </c>
      <c r="P50" s="40">
        <f>IFERROR($U$7*'Muraba Veil Sale Summary'!$G$6*I50,0)</f>
        <v>4833678.2015193598</v>
      </c>
      <c r="Q50" s="47">
        <f t="shared" si="24"/>
        <v>26910388.466501758</v>
      </c>
      <c r="R50" s="41">
        <f>J50*'Muraba Veil Sale Summary'!$F$6</f>
        <v>22076710.264982399</v>
      </c>
      <c r="S50" s="42">
        <f>J50*$U$7*'Muraba Veil Sale Summary'!$G$6</f>
        <v>4833678.2015193598</v>
      </c>
      <c r="T50" s="39">
        <f t="shared" si="3"/>
        <v>26910388.466501758</v>
      </c>
      <c r="U50" s="49">
        <f t="shared" si="25"/>
        <v>83730440.768399999</v>
      </c>
      <c r="V50" s="12"/>
      <c r="W50" s="12">
        <f t="shared" si="5"/>
        <v>0</v>
      </c>
      <c r="X50" s="12"/>
      <c r="Y50" s="183"/>
      <c r="Z50" s="183"/>
      <c r="AA50" s="12"/>
      <c r="AB50" s="12"/>
      <c r="AC50" s="12"/>
      <c r="AD50" s="12"/>
      <c r="AE50" s="12"/>
      <c r="AF50" s="12"/>
      <c r="AG50" s="12"/>
      <c r="AH50" s="25"/>
      <c r="AJ50" s="45"/>
      <c r="AK50" s="46"/>
      <c r="AL50" s="178"/>
      <c r="AM50" s="179"/>
      <c r="AN50" s="47"/>
      <c r="AO50" s="45"/>
      <c r="AP50" s="180"/>
      <c r="AQ50" s="47"/>
      <c r="AR50" s="48"/>
      <c r="AS50" s="46"/>
      <c r="AT50" s="47"/>
      <c r="AU50" s="49"/>
    </row>
    <row r="51" spans="1:47" x14ac:dyDescent="0.35">
      <c r="A51" s="12">
        <f t="shared" si="6"/>
        <v>150</v>
      </c>
      <c r="C51" s="185" t="s">
        <v>136</v>
      </c>
      <c r="D51">
        <f t="shared" si="15"/>
        <v>4201</v>
      </c>
      <c r="E51">
        <f t="shared" si="16"/>
        <v>4202</v>
      </c>
      <c r="F51">
        <f t="shared" si="17"/>
        <v>4203</v>
      </c>
      <c r="G51" s="45">
        <f t="shared" si="18"/>
        <v>42</v>
      </c>
      <c r="H51" s="50">
        <f t="shared" si="19"/>
        <v>8700</v>
      </c>
      <c r="I51" s="51">
        <v>10100</v>
      </c>
      <c r="J51" s="233">
        <v>10100</v>
      </c>
      <c r="K51" s="37">
        <f>IFERROR(H51*'Muraba Veil Sale Summary'!$F$8,0)</f>
        <v>25060611.5406528</v>
      </c>
      <c r="L51" s="38">
        <f>IFERROR(H51*$U$7*'Muraba Veil Sale Summary'!$G$8,0)</f>
        <v>5373783.2392243203</v>
      </c>
      <c r="M51" s="47">
        <f t="shared" si="23"/>
        <v>30434394.779877119</v>
      </c>
      <c r="N51" s="264"/>
      <c r="O51" s="36">
        <f>IFERROR(I51*'Muraba Veil Sale Summary'!$F$6,0)</f>
        <v>22409524.992595199</v>
      </c>
      <c r="P51" s="40">
        <f>IFERROR($U$7*'Muraba Veil Sale Summary'!$G$6*I51,0)</f>
        <v>4906547.7221452799</v>
      </c>
      <c r="Q51" s="47">
        <f t="shared" si="24"/>
        <v>27316072.714740478</v>
      </c>
      <c r="R51" s="41">
        <f>J51*'Muraba Veil Sale Summary'!$F$6</f>
        <v>22409524.992595199</v>
      </c>
      <c r="S51" s="42">
        <f>J51*$U$7*'Muraba Veil Sale Summary'!$G$6</f>
        <v>4906547.7221452799</v>
      </c>
      <c r="T51" s="39">
        <f t="shared" si="3"/>
        <v>27316072.714740478</v>
      </c>
      <c r="U51" s="49">
        <f t="shared" si="25"/>
        <v>85066540.209358066</v>
      </c>
      <c r="V51" s="12"/>
      <c r="W51" s="12">
        <f t="shared" si="5"/>
        <v>0</v>
      </c>
      <c r="X51" s="12"/>
      <c r="Y51" s="183"/>
      <c r="Z51" s="183"/>
      <c r="AA51" s="12"/>
      <c r="AB51" s="12"/>
      <c r="AC51" s="12"/>
      <c r="AD51" s="12"/>
      <c r="AE51" s="12"/>
      <c r="AF51" s="12"/>
      <c r="AG51" s="12"/>
      <c r="AH51" s="25"/>
      <c r="AJ51" s="45"/>
      <c r="AK51" s="46"/>
      <c r="AL51" s="178"/>
      <c r="AM51" s="179"/>
      <c r="AN51" s="47"/>
      <c r="AO51" s="45"/>
      <c r="AP51" s="180"/>
      <c r="AQ51" s="47"/>
      <c r="AR51" s="48"/>
      <c r="AS51" s="46"/>
      <c r="AT51" s="47"/>
      <c r="AU51" s="49"/>
    </row>
    <row r="52" spans="1:47" x14ac:dyDescent="0.35">
      <c r="A52" s="12">
        <f t="shared" si="6"/>
        <v>150</v>
      </c>
      <c r="C52" s="185" t="s">
        <v>136</v>
      </c>
      <c r="D52">
        <f t="shared" si="15"/>
        <v>4301</v>
      </c>
      <c r="E52">
        <f t="shared" si="16"/>
        <v>4302</v>
      </c>
      <c r="F52">
        <f t="shared" si="17"/>
        <v>4303</v>
      </c>
      <c r="G52" s="45">
        <f t="shared" si="18"/>
        <v>43</v>
      </c>
      <c r="H52" s="50">
        <f t="shared" si="19"/>
        <v>8850</v>
      </c>
      <c r="I52" s="51">
        <v>10250</v>
      </c>
      <c r="J52" s="233">
        <v>10250</v>
      </c>
      <c r="K52" s="37">
        <f>IFERROR(H52*'Muraba Veil Sale Summary'!$F$8,0)</f>
        <v>25492691.049974401</v>
      </c>
      <c r="L52" s="38">
        <f>IFERROR(H52*$U$7*'Muraba Veil Sale Summary'!$G$8,0)</f>
        <v>5466434.67438336</v>
      </c>
      <c r="M52" s="47">
        <f t="shared" si="23"/>
        <v>30959125.724357761</v>
      </c>
      <c r="N52" s="264"/>
      <c r="O52" s="36">
        <f>IFERROR(I52*'Muraba Veil Sale Summary'!$F$6,0)</f>
        <v>22742339.720207997</v>
      </c>
      <c r="P52" s="40">
        <f>IFERROR($U$7*'Muraba Veil Sale Summary'!$G$6*I52,0)</f>
        <v>4979417.2427711999</v>
      </c>
      <c r="Q52" s="47">
        <f t="shared" si="24"/>
        <v>27721756.962979198</v>
      </c>
      <c r="R52" s="41">
        <f>J52*'Muraba Veil Sale Summary'!$F$6</f>
        <v>22742339.720207997</v>
      </c>
      <c r="S52" s="42">
        <f>J52*$U$7*'Muraba Veil Sale Summary'!$G$6</f>
        <v>4979417.2427711999</v>
      </c>
      <c r="T52" s="39">
        <f t="shared" si="3"/>
        <v>27721756.962979198</v>
      </c>
      <c r="U52" s="49">
        <f t="shared" si="25"/>
        <v>86402639.650316149</v>
      </c>
      <c r="V52" s="12"/>
      <c r="W52" s="12">
        <f t="shared" si="5"/>
        <v>0</v>
      </c>
      <c r="X52" s="12"/>
      <c r="Y52" s="183"/>
      <c r="Z52" s="183"/>
      <c r="AA52" s="12"/>
      <c r="AB52" s="12"/>
      <c r="AC52" s="12"/>
      <c r="AD52" s="12"/>
      <c r="AE52" s="12"/>
      <c r="AF52" s="12"/>
      <c r="AG52" s="12"/>
      <c r="AH52" s="25"/>
      <c r="AJ52" s="45"/>
      <c r="AK52" s="46"/>
      <c r="AL52" s="178"/>
      <c r="AM52" s="179"/>
      <c r="AN52" s="47"/>
      <c r="AO52" s="45"/>
      <c r="AP52" s="180"/>
      <c r="AQ52" s="47"/>
      <c r="AR52" s="48"/>
      <c r="AS52" s="46"/>
      <c r="AT52" s="47"/>
      <c r="AU52" s="49"/>
    </row>
    <row r="53" spans="1:47" x14ac:dyDescent="0.35">
      <c r="A53" s="12">
        <f t="shared" si="6"/>
        <v>150</v>
      </c>
      <c r="C53" s="185" t="s">
        <v>136</v>
      </c>
      <c r="D53">
        <f t="shared" si="15"/>
        <v>4401</v>
      </c>
      <c r="E53">
        <f t="shared" si="16"/>
        <v>4402</v>
      </c>
      <c r="F53">
        <f t="shared" si="17"/>
        <v>4403</v>
      </c>
      <c r="G53" s="45">
        <f t="shared" si="18"/>
        <v>44</v>
      </c>
      <c r="H53" s="50">
        <f t="shared" si="19"/>
        <v>9000</v>
      </c>
      <c r="I53" s="51">
        <v>10400</v>
      </c>
      <c r="J53" s="233">
        <v>10400</v>
      </c>
      <c r="K53" s="37">
        <f>IFERROR(H53*'Muraba Veil Sale Summary'!$F$8,0)</f>
        <v>25924770.559296001</v>
      </c>
      <c r="L53" s="38">
        <f>IFERROR(H53*$U$7*'Muraba Veil Sale Summary'!$G$8,0)</f>
        <v>5559086.1095424006</v>
      </c>
      <c r="M53" s="47">
        <f t="shared" si="23"/>
        <v>31483856.6688384</v>
      </c>
      <c r="N53" s="264"/>
      <c r="O53" s="36">
        <f>IFERROR(I53*'Muraba Veil Sale Summary'!$F$6,0)</f>
        <v>23075154.447820798</v>
      </c>
      <c r="P53" s="40">
        <f>IFERROR($U$7*'Muraba Veil Sale Summary'!$G$6*I53,0)</f>
        <v>5052286.7633971199</v>
      </c>
      <c r="Q53" s="47">
        <f t="shared" si="24"/>
        <v>28127441.211217918</v>
      </c>
      <c r="R53" s="41">
        <f>J53*'Muraba Veil Sale Summary'!$F$6</f>
        <v>23075154.447820798</v>
      </c>
      <c r="S53" s="42">
        <f>J53*$U$7*'Muraba Veil Sale Summary'!$G$6</f>
        <v>5052286.7633971199</v>
      </c>
      <c r="T53" s="39">
        <f t="shared" si="3"/>
        <v>28127441.211217918</v>
      </c>
      <c r="U53" s="49">
        <f t="shared" si="25"/>
        <v>87738739.091274232</v>
      </c>
      <c r="V53" s="12"/>
      <c r="W53" s="12">
        <f t="shared" si="5"/>
        <v>0</v>
      </c>
      <c r="X53" s="12"/>
      <c r="Y53" s="183"/>
      <c r="Z53" s="183"/>
      <c r="AA53" s="12"/>
      <c r="AB53" s="12"/>
      <c r="AC53" s="12"/>
      <c r="AD53" s="12"/>
      <c r="AE53" s="12"/>
      <c r="AF53" s="12"/>
      <c r="AG53" s="12"/>
      <c r="AH53" s="25"/>
      <c r="AJ53" s="45"/>
      <c r="AK53" s="46"/>
      <c r="AL53" s="178"/>
      <c r="AM53" s="179"/>
      <c r="AN53" s="47"/>
      <c r="AO53" s="45"/>
      <c r="AP53" s="180"/>
      <c r="AQ53" s="47"/>
      <c r="AR53" s="48"/>
      <c r="AS53" s="46"/>
      <c r="AT53" s="47"/>
      <c r="AU53" s="49"/>
    </row>
    <row r="54" spans="1:47" x14ac:dyDescent="0.35">
      <c r="A54" s="12">
        <f t="shared" si="6"/>
        <v>150</v>
      </c>
      <c r="C54" s="185" t="s">
        <v>136</v>
      </c>
      <c r="D54">
        <f t="shared" si="15"/>
        <v>4501</v>
      </c>
      <c r="E54">
        <f t="shared" si="16"/>
        <v>4502</v>
      </c>
      <c r="F54">
        <f t="shared" si="17"/>
        <v>4503</v>
      </c>
      <c r="G54" s="45">
        <f t="shared" si="18"/>
        <v>45</v>
      </c>
      <c r="H54" s="50">
        <f t="shared" si="19"/>
        <v>9150</v>
      </c>
      <c r="I54" s="51">
        <v>10550</v>
      </c>
      <c r="J54" s="233">
        <v>10550</v>
      </c>
      <c r="K54" s="37">
        <f>IFERROR(H54*'Muraba Veil Sale Summary'!$F$8,0)</f>
        <v>26356850.068617601</v>
      </c>
      <c r="L54" s="38">
        <f>IFERROR(H54*$U$7*'Muraba Veil Sale Summary'!$G$8,0)</f>
        <v>5651737.5447014403</v>
      </c>
      <c r="M54" s="47">
        <f t="shared" si="23"/>
        <v>32008587.613319039</v>
      </c>
      <c r="N54" s="264"/>
      <c r="O54" s="36">
        <f>IFERROR(I54*'Muraba Veil Sale Summary'!$F$6,0)</f>
        <v>23407969.175433598</v>
      </c>
      <c r="P54" s="40">
        <f>IFERROR($U$7*'Muraba Veil Sale Summary'!$G$6*I54,0)</f>
        <v>5125156.28402304</v>
      </c>
      <c r="Q54" s="47">
        <f t="shared" si="24"/>
        <v>28533125.459456638</v>
      </c>
      <c r="R54" s="41">
        <f>J54*'Muraba Veil Sale Summary'!$F$6</f>
        <v>23407969.175433598</v>
      </c>
      <c r="S54" s="42">
        <f>J54*$U$7*'Muraba Veil Sale Summary'!$G$6</f>
        <v>5125156.28402304</v>
      </c>
      <c r="T54" s="39">
        <f t="shared" si="3"/>
        <v>28533125.459456638</v>
      </c>
      <c r="U54" s="49">
        <f t="shared" si="25"/>
        <v>89074838.532232314</v>
      </c>
      <c r="V54" s="12"/>
      <c r="W54" s="12">
        <f t="shared" si="5"/>
        <v>0</v>
      </c>
      <c r="X54" s="12"/>
      <c r="Y54" s="183"/>
      <c r="Z54" s="183"/>
      <c r="AA54" s="12"/>
      <c r="AB54" s="12"/>
      <c r="AC54" s="12"/>
      <c r="AD54" s="12"/>
      <c r="AE54" s="12"/>
      <c r="AF54" s="12"/>
      <c r="AG54" s="12"/>
      <c r="AH54" s="25"/>
      <c r="AJ54" s="45"/>
      <c r="AK54" s="46"/>
      <c r="AL54" s="178"/>
      <c r="AM54" s="179"/>
      <c r="AN54" s="47"/>
      <c r="AO54" s="45"/>
      <c r="AP54" s="180"/>
      <c r="AQ54" s="47"/>
      <c r="AR54" s="48"/>
      <c r="AS54" s="46"/>
      <c r="AT54" s="47"/>
      <c r="AU54" s="49"/>
    </row>
    <row r="55" spans="1:47" x14ac:dyDescent="0.35">
      <c r="A55" s="12">
        <f t="shared" si="6"/>
        <v>150</v>
      </c>
      <c r="C55" s="185" t="s">
        <v>136</v>
      </c>
      <c r="D55">
        <f t="shared" si="15"/>
        <v>4601</v>
      </c>
      <c r="E55">
        <f t="shared" si="16"/>
        <v>4602</v>
      </c>
      <c r="F55">
        <f t="shared" si="17"/>
        <v>4603</v>
      </c>
      <c r="G55" s="45">
        <f t="shared" si="18"/>
        <v>46</v>
      </c>
      <c r="H55" s="50">
        <f t="shared" si="19"/>
        <v>9300</v>
      </c>
      <c r="I55" s="51">
        <v>10700</v>
      </c>
      <c r="J55" s="233">
        <v>10700</v>
      </c>
      <c r="K55" s="37">
        <f>IFERROR(H55*'Muraba Veil Sale Summary'!$F$8,0)</f>
        <v>26788929.577939201</v>
      </c>
      <c r="L55" s="38">
        <f>IFERROR(H55*$U$7*'Muraba Veil Sale Summary'!$G$8,0)</f>
        <v>5744388.9798604799</v>
      </c>
      <c r="M55" s="47">
        <f t="shared" si="23"/>
        <v>32533318.557799682</v>
      </c>
      <c r="N55" s="264"/>
      <c r="O55" s="36">
        <f>IFERROR(I55*'Muraba Veil Sale Summary'!$F$6,0)</f>
        <v>23740783.903046399</v>
      </c>
      <c r="P55" s="40">
        <f>IFERROR($U$7*'Muraba Veil Sale Summary'!$G$6*I55,0)</f>
        <v>5198025.80464896</v>
      </c>
      <c r="Q55" s="47">
        <f t="shared" si="24"/>
        <v>28938809.707695358</v>
      </c>
      <c r="R55" s="41">
        <f>J55*'Muraba Veil Sale Summary'!$F$6</f>
        <v>23740783.903046399</v>
      </c>
      <c r="S55" s="42">
        <f>J55*$U$7*'Muraba Veil Sale Summary'!$G$6</f>
        <v>5198025.80464896</v>
      </c>
      <c r="T55" s="39">
        <f t="shared" si="3"/>
        <v>28938809.707695358</v>
      </c>
      <c r="U55" s="49">
        <f t="shared" si="25"/>
        <v>90410937.973190397</v>
      </c>
      <c r="V55" s="12"/>
      <c r="W55" s="12">
        <f t="shared" si="5"/>
        <v>0</v>
      </c>
      <c r="X55" s="12"/>
      <c r="Y55" s="183"/>
      <c r="Z55" s="183"/>
      <c r="AA55" s="12"/>
      <c r="AB55" s="12"/>
      <c r="AC55" s="12"/>
      <c r="AD55" s="12"/>
      <c r="AE55" s="12"/>
      <c r="AF55" s="12"/>
      <c r="AG55" s="12"/>
      <c r="AH55" s="25"/>
      <c r="AJ55" s="45"/>
      <c r="AK55" s="46"/>
      <c r="AL55" s="178"/>
      <c r="AM55" s="179"/>
      <c r="AN55" s="47"/>
      <c r="AO55" s="45"/>
      <c r="AP55" s="180"/>
      <c r="AQ55" s="47"/>
      <c r="AR55" s="48"/>
      <c r="AS55" s="46"/>
      <c r="AT55" s="47"/>
      <c r="AU55" s="49"/>
    </row>
    <row r="56" spans="1:47" x14ac:dyDescent="0.35">
      <c r="A56" s="12">
        <f t="shared" si="6"/>
        <v>150</v>
      </c>
      <c r="C56" s="185" t="s">
        <v>136</v>
      </c>
      <c r="D56">
        <f t="shared" si="15"/>
        <v>4701</v>
      </c>
      <c r="E56">
        <f t="shared" si="16"/>
        <v>4702</v>
      </c>
      <c r="F56">
        <f t="shared" si="17"/>
        <v>4703</v>
      </c>
      <c r="G56" s="45">
        <f t="shared" si="18"/>
        <v>47</v>
      </c>
      <c r="H56" s="50">
        <f t="shared" si="19"/>
        <v>9450</v>
      </c>
      <c r="I56" s="51">
        <v>10850</v>
      </c>
      <c r="J56" s="233">
        <v>10850</v>
      </c>
      <c r="K56" s="37">
        <f>IFERROR(H56*'Muraba Veil Sale Summary'!$F$8,0)</f>
        <v>27221009.087260801</v>
      </c>
      <c r="L56" s="38">
        <f>IFERROR(H56*$U$7*'Muraba Veil Sale Summary'!$G$8,0)</f>
        <v>5837040.4150195206</v>
      </c>
      <c r="M56" s="47">
        <f t="shared" si="23"/>
        <v>33058049.502280321</v>
      </c>
      <c r="N56" s="264"/>
      <c r="O56" s="36">
        <f>IFERROR(I56*'Muraba Veil Sale Summary'!$F$6,0)</f>
        <v>24073598.630659197</v>
      </c>
      <c r="P56" s="40">
        <f>IFERROR($U$7*'Muraba Veil Sale Summary'!$G$6*I56,0)</f>
        <v>5270895.32527488</v>
      </c>
      <c r="Q56" s="47">
        <f t="shared" si="24"/>
        <v>29344493.955934078</v>
      </c>
      <c r="R56" s="41">
        <f>J56*'Muraba Veil Sale Summary'!$F$6</f>
        <v>24073598.630659197</v>
      </c>
      <c r="S56" s="42">
        <f>J56*$U$7*'Muraba Veil Sale Summary'!$G$6</f>
        <v>5270895.32527488</v>
      </c>
      <c r="T56" s="39">
        <f t="shared" si="3"/>
        <v>29344493.955934078</v>
      </c>
      <c r="U56" s="49">
        <f t="shared" si="25"/>
        <v>91747037.41414848</v>
      </c>
      <c r="V56" s="12"/>
      <c r="W56" s="12">
        <f t="shared" si="5"/>
        <v>0</v>
      </c>
      <c r="X56" s="12"/>
      <c r="Y56" s="183"/>
      <c r="Z56" s="183"/>
      <c r="AA56" s="12"/>
      <c r="AB56" s="12"/>
      <c r="AC56" s="12"/>
      <c r="AD56" s="12"/>
      <c r="AE56" s="12"/>
      <c r="AF56" s="12"/>
      <c r="AG56" s="12"/>
      <c r="AH56" s="25"/>
      <c r="AJ56" s="45"/>
      <c r="AK56" s="46"/>
      <c r="AL56" s="178"/>
      <c r="AM56" s="179"/>
      <c r="AN56" s="47"/>
      <c r="AO56" s="45"/>
      <c r="AP56" s="180"/>
      <c r="AQ56" s="47"/>
      <c r="AR56" s="48"/>
      <c r="AS56" s="46"/>
      <c r="AT56" s="47"/>
      <c r="AU56" s="49"/>
    </row>
    <row r="57" spans="1:47" x14ac:dyDescent="0.35">
      <c r="A57" s="12">
        <f t="shared" si="6"/>
        <v>150</v>
      </c>
      <c r="C57" s="185" t="s">
        <v>136</v>
      </c>
      <c r="D57">
        <f t="shared" ref="D57:D63" si="26">IF(G57="","",D56+100)</f>
        <v>4801</v>
      </c>
      <c r="E57">
        <f t="shared" ref="E57:E63" si="27">IF(G57="","",E56+100)</f>
        <v>4802</v>
      </c>
      <c r="F57">
        <f t="shared" ref="F57:F63" si="28">IF(G57="","",F56+100)</f>
        <v>4803</v>
      </c>
      <c r="G57" s="45">
        <f t="shared" si="18"/>
        <v>48</v>
      </c>
      <c r="H57" s="50">
        <f t="shared" si="19"/>
        <v>9600</v>
      </c>
      <c r="I57" s="51">
        <v>11000</v>
      </c>
      <c r="J57" s="233">
        <v>11000</v>
      </c>
      <c r="K57" s="37">
        <f>IFERROR(H57*'Muraba Veil Sale Summary'!$F$8,0)</f>
        <v>27653088.596582402</v>
      </c>
      <c r="L57" s="38">
        <f>IFERROR(H57*$U$7*'Muraba Veil Sale Summary'!$G$8,0)</f>
        <v>5929691.8501785602</v>
      </c>
      <c r="M57" s="47">
        <f t="shared" ref="M57:M63" si="29">L57+K57</f>
        <v>33582780.44676096</v>
      </c>
      <c r="N57" s="264"/>
      <c r="O57" s="36">
        <f>IFERROR(I57*'Muraba Veil Sale Summary'!$F$6,0)</f>
        <v>24406413.358271997</v>
      </c>
      <c r="P57" s="40">
        <f>IFERROR($U$7*'Muraba Veil Sale Summary'!$G$6*I57,0)</f>
        <v>5343764.8459008001</v>
      </c>
      <c r="Q57" s="47">
        <f t="shared" ref="Q57:Q63" si="30">O57+P57</f>
        <v>29750178.204172798</v>
      </c>
      <c r="R57" s="41">
        <f>J57*'Muraba Veil Sale Summary'!$F$6</f>
        <v>24406413.358271997</v>
      </c>
      <c r="S57" s="42">
        <f>J57*$U$7*'Muraba Veil Sale Summary'!$G$6</f>
        <v>5343764.8459008001</v>
      </c>
      <c r="T57" s="39">
        <f t="shared" si="3"/>
        <v>29750178.204172798</v>
      </c>
      <c r="U57" s="49">
        <f t="shared" ref="U57:U63" si="31">M57+Q57+T57</f>
        <v>93083136.855106562</v>
      </c>
      <c r="V57" s="12"/>
      <c r="W57" s="12">
        <f t="shared" si="5"/>
        <v>0</v>
      </c>
      <c r="X57" s="12"/>
      <c r="Y57" s="183"/>
      <c r="Z57" s="183"/>
      <c r="AA57" s="12"/>
      <c r="AB57" s="12"/>
      <c r="AC57" s="12"/>
      <c r="AD57" s="12"/>
      <c r="AE57" s="12"/>
      <c r="AF57" s="12"/>
      <c r="AG57" s="12"/>
      <c r="AH57" s="25"/>
      <c r="AJ57" s="45"/>
      <c r="AK57" s="46"/>
      <c r="AL57" s="178"/>
      <c r="AM57" s="179"/>
      <c r="AN57" s="47"/>
      <c r="AO57" s="45"/>
      <c r="AP57" s="180"/>
      <c r="AQ57" s="47"/>
      <c r="AR57" s="48"/>
      <c r="AS57" s="46"/>
      <c r="AT57" s="47"/>
      <c r="AU57" s="49"/>
    </row>
    <row r="58" spans="1:47" x14ac:dyDescent="0.35">
      <c r="A58" s="12">
        <f t="shared" si="6"/>
        <v>150</v>
      </c>
      <c r="C58" s="185" t="s">
        <v>136</v>
      </c>
      <c r="D58">
        <f t="shared" si="26"/>
        <v>4901</v>
      </c>
      <c r="E58">
        <f t="shared" si="27"/>
        <v>4902</v>
      </c>
      <c r="F58">
        <f t="shared" si="28"/>
        <v>4903</v>
      </c>
      <c r="G58" s="45">
        <f t="shared" si="18"/>
        <v>49</v>
      </c>
      <c r="H58" s="50">
        <f t="shared" si="19"/>
        <v>9750</v>
      </c>
      <c r="I58" s="51">
        <v>11150</v>
      </c>
      <c r="J58" s="233">
        <v>11150</v>
      </c>
      <c r="K58" s="37">
        <f>IFERROR(H58*'Muraba Veil Sale Summary'!$F$8,0)</f>
        <v>28085168.105904002</v>
      </c>
      <c r="L58" s="38">
        <f>IFERROR(H58*$U$7*'Muraba Veil Sale Summary'!$G$8,0)</f>
        <v>6022343.2853376009</v>
      </c>
      <c r="M58" s="47">
        <f t="shared" si="29"/>
        <v>34107511.391241603</v>
      </c>
      <c r="N58" s="264"/>
      <c r="O58" s="36">
        <f>IFERROR(I58*'Muraba Veil Sale Summary'!$F$6,0)</f>
        <v>24739228.085884798</v>
      </c>
      <c r="P58" s="40">
        <f>IFERROR($U$7*'Muraba Veil Sale Summary'!$G$6*I58,0)</f>
        <v>5416634.3665267192</v>
      </c>
      <c r="Q58" s="47">
        <f t="shared" si="30"/>
        <v>30155862.452411518</v>
      </c>
      <c r="R58" s="41">
        <f>J58*'Muraba Veil Sale Summary'!$F$6</f>
        <v>24739228.085884798</v>
      </c>
      <c r="S58" s="42">
        <f>J58*$U$7*'Muraba Veil Sale Summary'!$G$6</f>
        <v>5416634.3665267201</v>
      </c>
      <c r="T58" s="39">
        <f t="shared" si="3"/>
        <v>30155862.452411518</v>
      </c>
      <c r="U58" s="49">
        <f t="shared" si="31"/>
        <v>94419236.296064645</v>
      </c>
      <c r="V58" s="12"/>
      <c r="W58" s="12">
        <f t="shared" si="5"/>
        <v>0</v>
      </c>
      <c r="X58" s="12"/>
      <c r="Y58" s="183"/>
      <c r="Z58" s="183"/>
      <c r="AA58" s="12"/>
      <c r="AB58" s="12"/>
      <c r="AC58" s="12"/>
      <c r="AD58" s="12"/>
      <c r="AE58" s="12"/>
      <c r="AF58" s="12"/>
      <c r="AG58" s="12"/>
      <c r="AH58" s="25"/>
      <c r="AJ58" s="45"/>
      <c r="AK58" s="46"/>
      <c r="AL58" s="178"/>
      <c r="AM58" s="179"/>
      <c r="AN58" s="47"/>
      <c r="AO58" s="45"/>
      <c r="AP58" s="180"/>
      <c r="AQ58" s="47"/>
      <c r="AR58" s="48"/>
      <c r="AS58" s="46"/>
      <c r="AT58" s="47"/>
      <c r="AU58" s="49"/>
    </row>
    <row r="59" spans="1:47" x14ac:dyDescent="0.35">
      <c r="A59" s="12">
        <f t="shared" si="6"/>
        <v>150</v>
      </c>
      <c r="C59" s="185" t="s">
        <v>136</v>
      </c>
      <c r="D59">
        <f>IF(G59="","",D58+200)</f>
        <v>5101</v>
      </c>
      <c r="E59">
        <f>IF(G59="","",E58+200)</f>
        <v>5102</v>
      </c>
      <c r="F59">
        <f>IF(G59="","",F58+200)</f>
        <v>5103</v>
      </c>
      <c r="G59" s="45">
        <f>G58+2</f>
        <v>51</v>
      </c>
      <c r="H59" s="50">
        <f t="shared" si="19"/>
        <v>9900</v>
      </c>
      <c r="I59" s="51">
        <v>11300</v>
      </c>
      <c r="J59" s="233">
        <v>11300</v>
      </c>
      <c r="K59" s="37">
        <f>IFERROR(H59*'Muraba Veil Sale Summary'!$F$8,0)</f>
        <v>28517247.615225602</v>
      </c>
      <c r="L59" s="38">
        <f>IFERROR(H59*$U$7*'Muraba Veil Sale Summary'!$G$8,0)</f>
        <v>6114994.7204966405</v>
      </c>
      <c r="M59" s="47">
        <f t="shared" si="29"/>
        <v>34632242.335722245</v>
      </c>
      <c r="N59" s="264"/>
      <c r="O59" s="36">
        <f>IFERROR(I59*'Muraba Veil Sale Summary'!$F$6,0)</f>
        <v>25072042.813497599</v>
      </c>
      <c r="P59" s="40">
        <f>IFERROR($U$7*'Muraba Veil Sale Summary'!$G$6*I59,0)</f>
        <v>5489503.8871526392</v>
      </c>
      <c r="Q59" s="47">
        <f t="shared" si="30"/>
        <v>30561546.700650238</v>
      </c>
      <c r="R59" s="41">
        <f>J59*'Muraba Veil Sale Summary'!$F$6</f>
        <v>25072042.813497599</v>
      </c>
      <c r="S59" s="42">
        <f>J59*$U$7*'Muraba Veil Sale Summary'!$G$6</f>
        <v>5489503.8871526401</v>
      </c>
      <c r="T59" s="39">
        <f t="shared" si="3"/>
        <v>30561546.700650238</v>
      </c>
      <c r="U59" s="49">
        <f t="shared" si="31"/>
        <v>95755335.737022728</v>
      </c>
      <c r="V59" s="12"/>
      <c r="W59" s="12">
        <f t="shared" si="5"/>
        <v>0</v>
      </c>
      <c r="X59" s="12"/>
      <c r="Y59" s="183"/>
      <c r="Z59" s="183"/>
      <c r="AA59" s="12"/>
      <c r="AB59" s="12"/>
      <c r="AC59" s="12"/>
      <c r="AD59" s="12"/>
      <c r="AE59" s="12"/>
      <c r="AF59" s="12"/>
      <c r="AG59" s="12"/>
      <c r="AH59" s="25"/>
      <c r="AJ59" s="45"/>
      <c r="AK59" s="46"/>
      <c r="AL59" s="178"/>
      <c r="AM59" s="179"/>
      <c r="AN59" s="47"/>
      <c r="AO59" s="45"/>
      <c r="AP59" s="180"/>
      <c r="AQ59" s="47"/>
      <c r="AR59" s="48"/>
      <c r="AS59" s="46"/>
      <c r="AT59" s="47"/>
      <c r="AU59" s="49"/>
    </row>
    <row r="60" spans="1:47" x14ac:dyDescent="0.35">
      <c r="A60" s="12">
        <f t="shared" si="6"/>
        <v>150</v>
      </c>
      <c r="C60" s="185" t="s">
        <v>136</v>
      </c>
      <c r="D60">
        <f>IF(G60="","",D59+100)</f>
        <v>5201</v>
      </c>
      <c r="E60">
        <f t="shared" si="27"/>
        <v>5202</v>
      </c>
      <c r="F60">
        <f t="shared" si="28"/>
        <v>5203</v>
      </c>
      <c r="G60" s="45">
        <f t="shared" si="18"/>
        <v>52</v>
      </c>
      <c r="H60" s="50">
        <f t="shared" si="19"/>
        <v>10050</v>
      </c>
      <c r="I60" s="51">
        <v>11450</v>
      </c>
      <c r="J60" s="233">
        <v>11450</v>
      </c>
      <c r="K60" s="37">
        <f>IFERROR(H60*'Muraba Veil Sale Summary'!$F$8,0)</f>
        <v>28949327.124547202</v>
      </c>
      <c r="L60" s="38">
        <f>IFERROR(H60*$U$7*'Muraba Veil Sale Summary'!$G$8,0)</f>
        <v>6207646.1556556802</v>
      </c>
      <c r="M60" s="47">
        <f t="shared" si="29"/>
        <v>35156973.280202881</v>
      </c>
      <c r="N60" s="264"/>
      <c r="O60" s="36">
        <f>IFERROR(I60*'Muraba Veil Sale Summary'!$F$6,0)</f>
        <v>25404857.541110396</v>
      </c>
      <c r="P60" s="40">
        <f>IFERROR($U$7*'Muraba Veil Sale Summary'!$G$6*I60,0)</f>
        <v>5562373.4077785593</v>
      </c>
      <c r="Q60" s="47">
        <f t="shared" si="30"/>
        <v>30967230.948888958</v>
      </c>
      <c r="R60" s="41">
        <f>J60*'Muraba Veil Sale Summary'!$F$6</f>
        <v>25404857.541110396</v>
      </c>
      <c r="S60" s="42">
        <f>J60*$U$7*'Muraba Veil Sale Summary'!$G$6</f>
        <v>5562373.4077785602</v>
      </c>
      <c r="T60" s="39">
        <f t="shared" si="3"/>
        <v>30967230.948888958</v>
      </c>
      <c r="U60" s="49">
        <f t="shared" si="31"/>
        <v>97091435.177980796</v>
      </c>
      <c r="V60" s="12"/>
      <c r="W60" s="12">
        <f t="shared" si="5"/>
        <v>0</v>
      </c>
      <c r="X60" s="12"/>
      <c r="Y60" s="183"/>
      <c r="Z60" s="183"/>
      <c r="AA60" s="12"/>
      <c r="AB60" s="12"/>
      <c r="AC60" s="12"/>
      <c r="AD60" s="12"/>
      <c r="AE60" s="12"/>
      <c r="AF60" s="12"/>
      <c r="AG60" s="12"/>
      <c r="AH60" s="25"/>
      <c r="AJ60" s="45"/>
      <c r="AK60" s="46"/>
      <c r="AL60" s="178"/>
      <c r="AM60" s="179"/>
      <c r="AN60" s="47"/>
      <c r="AO60" s="45"/>
      <c r="AP60" s="180"/>
      <c r="AQ60" s="47"/>
      <c r="AR60" s="48"/>
      <c r="AS60" s="46"/>
      <c r="AT60" s="47"/>
      <c r="AU60" s="49"/>
    </row>
    <row r="61" spans="1:47" x14ac:dyDescent="0.35">
      <c r="A61" s="12">
        <f t="shared" si="6"/>
        <v>150</v>
      </c>
      <c r="C61" s="185" t="s">
        <v>136</v>
      </c>
      <c r="D61">
        <f t="shared" si="26"/>
        <v>5301</v>
      </c>
      <c r="E61">
        <f t="shared" si="27"/>
        <v>5302</v>
      </c>
      <c r="F61">
        <f t="shared" si="28"/>
        <v>5303</v>
      </c>
      <c r="G61" s="45">
        <f t="shared" si="18"/>
        <v>53</v>
      </c>
      <c r="H61" s="50">
        <f t="shared" si="19"/>
        <v>10200</v>
      </c>
      <c r="I61" s="51">
        <v>11600</v>
      </c>
      <c r="J61" s="233">
        <v>11600</v>
      </c>
      <c r="K61" s="37">
        <f>IFERROR(H61*'Muraba Veil Sale Summary'!$F$8,0)</f>
        <v>29381406.633868802</v>
      </c>
      <c r="L61" s="38">
        <f>IFERROR(H61*$U$7*'Muraba Veil Sale Summary'!$G$8,0)</f>
        <v>6300297.5908147208</v>
      </c>
      <c r="M61" s="47">
        <f t="shared" si="29"/>
        <v>35681704.224683523</v>
      </c>
      <c r="N61" s="264"/>
      <c r="O61" s="36">
        <f>IFERROR(I61*'Muraba Veil Sale Summary'!$F$6,0)</f>
        <v>25737672.268723197</v>
      </c>
      <c r="P61" s="40">
        <f>IFERROR($U$7*'Muraba Veil Sale Summary'!$G$6*I61,0)</f>
        <v>5635242.9284044793</v>
      </c>
      <c r="Q61" s="47">
        <f t="shared" si="30"/>
        <v>31372915.197127678</v>
      </c>
      <c r="R61" s="41">
        <f>J61*'Muraba Veil Sale Summary'!$F$6</f>
        <v>25737672.268723197</v>
      </c>
      <c r="S61" s="42">
        <f>J61*$U$7*'Muraba Veil Sale Summary'!$G$6</f>
        <v>5635242.9284044802</v>
      </c>
      <c r="T61" s="39">
        <f t="shared" si="3"/>
        <v>31372915.197127678</v>
      </c>
      <c r="U61" s="49">
        <f t="shared" si="31"/>
        <v>98427534.618938878</v>
      </c>
      <c r="V61" s="12"/>
      <c r="W61" s="12">
        <f t="shared" si="5"/>
        <v>0</v>
      </c>
      <c r="X61" s="12"/>
      <c r="Y61" s="183"/>
      <c r="Z61" s="183"/>
      <c r="AA61" s="12"/>
      <c r="AB61" s="12"/>
      <c r="AC61" s="12"/>
      <c r="AD61" s="12"/>
      <c r="AE61" s="12"/>
      <c r="AF61" s="12"/>
      <c r="AG61" s="12"/>
      <c r="AH61" s="25"/>
      <c r="AJ61" s="45"/>
      <c r="AK61" s="46"/>
      <c r="AL61" s="178"/>
      <c r="AM61" s="179"/>
      <c r="AN61" s="47"/>
      <c r="AO61" s="45"/>
      <c r="AP61" s="180"/>
      <c r="AQ61" s="47"/>
      <c r="AR61" s="48"/>
      <c r="AS61" s="46"/>
      <c r="AT61" s="47"/>
      <c r="AU61" s="49"/>
    </row>
    <row r="62" spans="1:47" x14ac:dyDescent="0.35">
      <c r="A62" s="12">
        <f t="shared" si="6"/>
        <v>150</v>
      </c>
      <c r="C62" s="185" t="s">
        <v>136</v>
      </c>
      <c r="D62">
        <f t="shared" si="26"/>
        <v>5401</v>
      </c>
      <c r="E62">
        <f t="shared" si="27"/>
        <v>5402</v>
      </c>
      <c r="F62">
        <f t="shared" si="28"/>
        <v>5403</v>
      </c>
      <c r="G62" s="45">
        <f t="shared" si="18"/>
        <v>54</v>
      </c>
      <c r="H62" s="50">
        <f t="shared" si="19"/>
        <v>10350</v>
      </c>
      <c r="I62" s="51">
        <v>11750</v>
      </c>
      <c r="J62" s="233">
        <v>11750</v>
      </c>
      <c r="K62" s="37">
        <f>IFERROR(H62*'Muraba Veil Sale Summary'!$F$8,0)</f>
        <v>29813486.143190403</v>
      </c>
      <c r="L62" s="38">
        <f>IFERROR(H62*$U$7*'Muraba Veil Sale Summary'!$G$8,0)</f>
        <v>6392949.0259737605</v>
      </c>
      <c r="M62" s="47">
        <f t="shared" si="29"/>
        <v>36206435.169164166</v>
      </c>
      <c r="N62" s="264"/>
      <c r="O62" s="36">
        <f>IFERROR(I62*'Muraba Veil Sale Summary'!$F$6,0)</f>
        <v>26070486.996335998</v>
      </c>
      <c r="P62" s="40">
        <f>IFERROR($U$7*'Muraba Veil Sale Summary'!$G$6*I62,0)</f>
        <v>5708112.4490303993</v>
      </c>
      <c r="Q62" s="47">
        <f t="shared" si="30"/>
        <v>31778599.445366398</v>
      </c>
      <c r="R62" s="41">
        <f>J62*'Muraba Veil Sale Summary'!$F$6</f>
        <v>26070486.996335998</v>
      </c>
      <c r="S62" s="42">
        <f>J62*$U$7*'Muraba Veil Sale Summary'!$G$6</f>
        <v>5708112.4490304003</v>
      </c>
      <c r="T62" s="39">
        <f t="shared" si="3"/>
        <v>31778599.445366398</v>
      </c>
      <c r="U62" s="49">
        <f t="shared" si="31"/>
        <v>99763634.059896961</v>
      </c>
      <c r="V62" s="12"/>
      <c r="W62" s="12">
        <f t="shared" si="5"/>
        <v>0</v>
      </c>
      <c r="X62" s="12"/>
      <c r="Y62" s="183"/>
      <c r="Z62" s="183"/>
      <c r="AA62" s="12"/>
      <c r="AB62" s="12"/>
      <c r="AC62" s="12"/>
      <c r="AD62" s="12"/>
      <c r="AE62" s="12"/>
      <c r="AF62" s="12"/>
      <c r="AG62" s="12"/>
      <c r="AH62" s="25"/>
      <c r="AJ62" s="45"/>
      <c r="AK62" s="46"/>
      <c r="AL62" s="178"/>
      <c r="AM62" s="179"/>
      <c r="AN62" s="47"/>
      <c r="AO62" s="45"/>
      <c r="AP62" s="180"/>
      <c r="AQ62" s="47"/>
      <c r="AR62" s="48"/>
      <c r="AS62" s="46"/>
      <c r="AT62" s="47"/>
      <c r="AU62" s="49"/>
    </row>
    <row r="63" spans="1:47" x14ac:dyDescent="0.35">
      <c r="A63" s="12">
        <f t="shared" si="6"/>
        <v>150</v>
      </c>
      <c r="C63" s="185" t="s">
        <v>136</v>
      </c>
      <c r="D63">
        <f t="shared" si="26"/>
        <v>5501</v>
      </c>
      <c r="E63">
        <f t="shared" si="27"/>
        <v>5502</v>
      </c>
      <c r="F63">
        <f t="shared" si="28"/>
        <v>5503</v>
      </c>
      <c r="G63" s="45">
        <f t="shared" si="18"/>
        <v>55</v>
      </c>
      <c r="H63" s="50">
        <f t="shared" si="19"/>
        <v>10500</v>
      </c>
      <c r="I63" s="51">
        <v>11900</v>
      </c>
      <c r="J63" s="233">
        <v>11900</v>
      </c>
      <c r="K63" s="37">
        <f>IFERROR(H63*'Muraba Veil Sale Summary'!$F$8,0)</f>
        <v>30245565.652512003</v>
      </c>
      <c r="L63" s="38">
        <f>IFERROR(H63*$U$7*'Muraba Veil Sale Summary'!$G$8,0)</f>
        <v>6485600.4611328002</v>
      </c>
      <c r="M63" s="47">
        <f t="shared" si="29"/>
        <v>36731166.113644801</v>
      </c>
      <c r="N63" s="264"/>
      <c r="O63" s="36">
        <f>IFERROR(I63*'Muraba Veil Sale Summary'!$F$6,0)</f>
        <v>26403301.723948799</v>
      </c>
      <c r="P63" s="40">
        <f>IFERROR($U$7*'Muraba Veil Sale Summary'!$G$6*I63,0)</f>
        <v>5780981.9696563194</v>
      </c>
      <c r="Q63" s="47">
        <f t="shared" si="30"/>
        <v>32184283.693605117</v>
      </c>
      <c r="R63" s="41">
        <f>J63*'Muraba Veil Sale Summary'!$F$6</f>
        <v>26403301.723948799</v>
      </c>
      <c r="S63" s="42">
        <f>J63*$U$7*'Muraba Veil Sale Summary'!$G$6</f>
        <v>5780981.9696563203</v>
      </c>
      <c r="T63" s="39">
        <f t="shared" si="3"/>
        <v>32184283.693605117</v>
      </c>
      <c r="U63" s="49">
        <f t="shared" si="31"/>
        <v>101099733.50085503</v>
      </c>
      <c r="V63" s="12"/>
      <c r="W63" s="12">
        <f t="shared" si="5"/>
        <v>0</v>
      </c>
      <c r="X63" s="12"/>
      <c r="Y63" s="183"/>
      <c r="Z63" s="183"/>
      <c r="AA63" s="12"/>
      <c r="AB63" s="12"/>
      <c r="AC63" s="12"/>
      <c r="AD63" s="12"/>
      <c r="AE63" s="12"/>
      <c r="AF63" s="12"/>
      <c r="AG63" s="12"/>
      <c r="AH63" s="25"/>
      <c r="AJ63" s="45"/>
      <c r="AK63" s="46"/>
      <c r="AL63" s="178"/>
      <c r="AM63" s="179"/>
      <c r="AN63" s="47"/>
      <c r="AO63" s="45"/>
      <c r="AP63" s="180"/>
      <c r="AQ63" s="47"/>
      <c r="AR63" s="48"/>
      <c r="AS63" s="46"/>
      <c r="AT63" s="47"/>
      <c r="AU63" s="49"/>
    </row>
    <row r="64" spans="1:47" x14ac:dyDescent="0.35">
      <c r="A64" s="12">
        <f t="shared" si="6"/>
        <v>150</v>
      </c>
      <c r="C64" s="185" t="s">
        <v>136</v>
      </c>
      <c r="D64">
        <f t="shared" ref="D64:D71" si="32">IF(G64="","",D63+100)</f>
        <v>5601</v>
      </c>
      <c r="E64">
        <f t="shared" ref="E64:E71" si="33">IF(G64="","",E63+100)</f>
        <v>5602</v>
      </c>
      <c r="F64">
        <f t="shared" ref="F64:F71" si="34">IF(G64="","",F63+100)</f>
        <v>5603</v>
      </c>
      <c r="G64" s="45">
        <f t="shared" si="18"/>
        <v>56</v>
      </c>
      <c r="H64" s="50">
        <f t="shared" si="19"/>
        <v>10650</v>
      </c>
      <c r="I64" s="51">
        <v>12050</v>
      </c>
      <c r="J64" s="233">
        <v>12050</v>
      </c>
      <c r="K64" s="37">
        <f>IFERROR(H64*'Muraba Veil Sale Summary'!$F$8,0)</f>
        <v>30677645.161833603</v>
      </c>
      <c r="L64" s="38">
        <f>IFERROR(H64*$U$7*'Muraba Veil Sale Summary'!$G$8,0)</f>
        <v>6578251.8962918408</v>
      </c>
      <c r="M64" s="47">
        <f t="shared" ref="M64:M71" si="35">L64+K64</f>
        <v>37255897.058125444</v>
      </c>
      <c r="N64" s="264"/>
      <c r="O64" s="36">
        <f>IFERROR(I64*'Muraba Veil Sale Summary'!$F$6,0)</f>
        <v>26736116.451561596</v>
      </c>
      <c r="P64" s="40">
        <f>IFERROR($U$7*'Muraba Veil Sale Summary'!$G$6*I64,0)</f>
        <v>5853851.4902822394</v>
      </c>
      <c r="Q64" s="47">
        <f t="shared" ref="Q64:Q71" si="36">O64+P64</f>
        <v>32589967.941843837</v>
      </c>
      <c r="R64" s="41">
        <f>J64*'Muraba Veil Sale Summary'!$F$6</f>
        <v>26736116.451561596</v>
      </c>
      <c r="S64" s="42">
        <f>J64*$U$7*'Muraba Veil Sale Summary'!$G$6</f>
        <v>5853851.4902822403</v>
      </c>
      <c r="T64" s="39">
        <f t="shared" si="3"/>
        <v>32589967.941843837</v>
      </c>
      <c r="U64" s="49">
        <f t="shared" ref="U64:U71" si="37">M64+Q64+T64</f>
        <v>102435832.94181311</v>
      </c>
      <c r="V64" s="12"/>
      <c r="W64" s="12">
        <f t="shared" si="5"/>
        <v>0</v>
      </c>
      <c r="X64" s="12"/>
      <c r="Y64" s="183"/>
      <c r="Z64" s="183"/>
      <c r="AA64" s="12"/>
      <c r="AB64" s="12"/>
      <c r="AC64" s="12"/>
      <c r="AD64" s="12"/>
      <c r="AE64" s="12"/>
      <c r="AF64" s="12"/>
      <c r="AG64" s="12"/>
      <c r="AH64" s="25"/>
      <c r="AJ64" s="45"/>
      <c r="AK64" s="46"/>
      <c r="AL64" s="178"/>
      <c r="AM64" s="179"/>
      <c r="AN64" s="47"/>
      <c r="AO64" s="45"/>
      <c r="AP64" s="180"/>
      <c r="AQ64" s="47"/>
      <c r="AR64" s="48"/>
      <c r="AS64" s="46"/>
      <c r="AT64" s="47"/>
      <c r="AU64" s="49"/>
    </row>
    <row r="65" spans="1:47" x14ac:dyDescent="0.35">
      <c r="A65" s="12">
        <f t="shared" si="6"/>
        <v>150</v>
      </c>
      <c r="C65" s="185" t="s">
        <v>136</v>
      </c>
      <c r="D65">
        <f t="shared" si="32"/>
        <v>5701</v>
      </c>
      <c r="E65">
        <f t="shared" si="33"/>
        <v>5702</v>
      </c>
      <c r="F65">
        <f t="shared" si="34"/>
        <v>5703</v>
      </c>
      <c r="G65" s="45">
        <f t="shared" si="18"/>
        <v>57</v>
      </c>
      <c r="H65" s="50">
        <f t="shared" si="19"/>
        <v>10800</v>
      </c>
      <c r="I65" s="51">
        <v>12200</v>
      </c>
      <c r="J65" s="233">
        <v>12200</v>
      </c>
      <c r="K65" s="37">
        <f>IFERROR(H65*'Muraba Veil Sale Summary'!$F$8,0)</f>
        <v>31109724.671155199</v>
      </c>
      <c r="L65" s="38">
        <f>IFERROR(H65*$U$7*'Muraba Veil Sale Summary'!$G$8,0)</f>
        <v>6670903.3314508805</v>
      </c>
      <c r="M65" s="47">
        <f t="shared" si="35"/>
        <v>37780628.002606079</v>
      </c>
      <c r="N65" s="264"/>
      <c r="O65" s="36">
        <f>IFERROR(I65*'Muraba Veil Sale Summary'!$F$6,0)</f>
        <v>27068931.179174397</v>
      </c>
      <c r="P65" s="40">
        <f>IFERROR($U$7*'Muraba Veil Sale Summary'!$G$6*I65,0)</f>
        <v>5926721.0109081594</v>
      </c>
      <c r="Q65" s="47">
        <f t="shared" si="36"/>
        <v>32995652.190082557</v>
      </c>
      <c r="R65" s="41">
        <f>J65*'Muraba Veil Sale Summary'!$F$6</f>
        <v>27068931.179174397</v>
      </c>
      <c r="S65" s="42">
        <f>J65*$U$7*'Muraba Veil Sale Summary'!$G$6</f>
        <v>5926721.0109081604</v>
      </c>
      <c r="T65" s="39">
        <f t="shared" si="3"/>
        <v>32995652.190082557</v>
      </c>
      <c r="U65" s="49">
        <f t="shared" si="37"/>
        <v>103771932.38277119</v>
      </c>
      <c r="V65" s="12"/>
      <c r="W65" s="12">
        <f t="shared" si="5"/>
        <v>0</v>
      </c>
      <c r="X65" s="12"/>
      <c r="Y65" s="183"/>
      <c r="Z65" s="183"/>
      <c r="AA65" s="12"/>
      <c r="AB65" s="12"/>
      <c r="AC65" s="12"/>
      <c r="AD65" s="12"/>
      <c r="AE65" s="12"/>
      <c r="AF65" s="12"/>
      <c r="AG65" s="12"/>
      <c r="AH65" s="25"/>
      <c r="AJ65" s="45"/>
      <c r="AK65" s="46"/>
      <c r="AL65" s="178"/>
      <c r="AM65" s="179"/>
      <c r="AN65" s="47"/>
      <c r="AO65" s="45"/>
      <c r="AP65" s="180"/>
      <c r="AQ65" s="47"/>
      <c r="AR65" s="48"/>
      <c r="AS65" s="46"/>
      <c r="AT65" s="47"/>
      <c r="AU65" s="49"/>
    </row>
    <row r="66" spans="1:47" x14ac:dyDescent="0.35">
      <c r="A66" s="12">
        <f t="shared" si="6"/>
        <v>150</v>
      </c>
      <c r="C66" s="185" t="s">
        <v>136</v>
      </c>
      <c r="D66">
        <f>IF(G66="","",D65+200)</f>
        <v>5901</v>
      </c>
      <c r="E66">
        <f>IF(G66="","",E65+200)</f>
        <v>5902</v>
      </c>
      <c r="F66">
        <f>IF(G66="","",F65+200)</f>
        <v>5903</v>
      </c>
      <c r="G66" s="45">
        <f t="shared" si="18"/>
        <v>58</v>
      </c>
      <c r="H66" s="50">
        <f t="shared" si="19"/>
        <v>10950</v>
      </c>
      <c r="I66" s="51">
        <v>12350</v>
      </c>
      <c r="J66" s="233">
        <v>12350</v>
      </c>
      <c r="K66" s="37">
        <f>IFERROR(H66*'Muraba Veil Sale Summary'!$F$8,0)</f>
        <v>31541804.1804768</v>
      </c>
      <c r="L66" s="38">
        <f>IFERROR(H66*$U$7*'Muraba Veil Sale Summary'!$G$8,0)</f>
        <v>6763554.7666099202</v>
      </c>
      <c r="M66" s="47">
        <f t="shared" si="35"/>
        <v>38305358.947086722</v>
      </c>
      <c r="N66" s="264"/>
      <c r="O66" s="36">
        <f>IFERROR(I66*'Muraba Veil Sale Summary'!$F$6,0)</f>
        <v>27401745.906787198</v>
      </c>
      <c r="P66" s="40">
        <f>IFERROR($U$7*'Muraba Veil Sale Summary'!$G$6*I66,0)</f>
        <v>5999590.5315340795</v>
      </c>
      <c r="Q66" s="47">
        <f t="shared" si="36"/>
        <v>33401336.438321277</v>
      </c>
      <c r="R66" s="41">
        <f>J66*'Muraba Veil Sale Summary'!$F$6</f>
        <v>27401745.906787198</v>
      </c>
      <c r="S66" s="42">
        <f>J66*$U$7*'Muraba Veil Sale Summary'!$G$6</f>
        <v>5999590.5315340804</v>
      </c>
      <c r="T66" s="39">
        <f t="shared" si="3"/>
        <v>33401336.438321277</v>
      </c>
      <c r="U66" s="49">
        <f t="shared" si="37"/>
        <v>105108031.82372928</v>
      </c>
      <c r="V66" s="12"/>
      <c r="W66" s="12">
        <f t="shared" si="5"/>
        <v>0</v>
      </c>
      <c r="X66" s="12"/>
      <c r="Y66" s="183"/>
      <c r="Z66" s="183"/>
      <c r="AA66" s="12"/>
      <c r="AB66" s="12"/>
      <c r="AC66" s="12"/>
      <c r="AD66" s="12"/>
      <c r="AE66" s="12"/>
      <c r="AF66" s="12"/>
      <c r="AG66" s="12"/>
      <c r="AH66" s="25"/>
      <c r="AJ66" s="45"/>
      <c r="AK66" s="46"/>
      <c r="AL66" s="178"/>
      <c r="AM66" s="179"/>
      <c r="AN66" s="47"/>
      <c r="AO66" s="45"/>
      <c r="AP66" s="180"/>
      <c r="AQ66" s="47"/>
      <c r="AR66" s="48"/>
      <c r="AS66" s="46"/>
      <c r="AT66" s="47"/>
      <c r="AU66" s="49"/>
    </row>
    <row r="67" spans="1:47" x14ac:dyDescent="0.35">
      <c r="A67" s="12"/>
      <c r="C67" s="185" t="s">
        <v>136</v>
      </c>
      <c r="D67" t="str">
        <f t="shared" si="32"/>
        <v/>
      </c>
      <c r="E67" t="str">
        <f t="shared" si="33"/>
        <v/>
      </c>
      <c r="F67" t="str">
        <f t="shared" si="34"/>
        <v/>
      </c>
      <c r="G67" s="45"/>
      <c r="H67" s="50" t="str">
        <f>IF(G67="","",H66+$U$5)</f>
        <v/>
      </c>
      <c r="I67" s="51" t="str">
        <f>IF(G67="","",I66+$U$4)</f>
        <v/>
      </c>
      <c r="J67" s="233"/>
      <c r="K67" s="37">
        <f>IFERROR(H67*'Muraba Veil Sale Summary'!$F$8,0)</f>
        <v>0</v>
      </c>
      <c r="L67" s="38">
        <f>IFERROR(H67*$U$7*'Muraba Veil Sale Summary'!$G$8,0)</f>
        <v>0</v>
      </c>
      <c r="M67" s="47">
        <f t="shared" si="35"/>
        <v>0</v>
      </c>
      <c r="N67" s="264"/>
      <c r="O67" s="36">
        <f>IFERROR(I67*'Muraba Veil Sale Summary'!$F$6,0)</f>
        <v>0</v>
      </c>
      <c r="P67" s="40">
        <f>IFERROR($U$7*'Muraba Veil Sale Summary'!$G$6*I67,0)</f>
        <v>0</v>
      </c>
      <c r="Q67" s="47">
        <f t="shared" si="36"/>
        <v>0</v>
      </c>
      <c r="R67" s="41">
        <f>J67*'Muraba Veil Sale Summary'!$F$6</f>
        <v>0</v>
      </c>
      <c r="S67" s="42">
        <f>J67*$U$7*'Muraba Veil Sale Summary'!$G$6</f>
        <v>0</v>
      </c>
      <c r="T67" s="39">
        <f t="shared" si="3"/>
        <v>0</v>
      </c>
      <c r="U67" s="49">
        <f t="shared" si="37"/>
        <v>0</v>
      </c>
      <c r="V67" s="12"/>
      <c r="W67" s="12"/>
      <c r="X67" s="12"/>
      <c r="Y67" s="183"/>
      <c r="Z67" s="183"/>
      <c r="AA67" s="12"/>
      <c r="AB67" s="12"/>
      <c r="AC67" s="12"/>
      <c r="AD67" s="12"/>
      <c r="AE67" s="12"/>
      <c r="AF67" s="12"/>
      <c r="AG67" s="12"/>
      <c r="AH67" s="25"/>
      <c r="AJ67" s="45"/>
      <c r="AK67" s="46"/>
      <c r="AL67" s="178"/>
      <c r="AM67" s="179"/>
      <c r="AN67" s="47"/>
      <c r="AO67" s="45"/>
      <c r="AP67" s="180"/>
      <c r="AQ67" s="47"/>
      <c r="AR67" s="48"/>
      <c r="AS67" s="46"/>
      <c r="AT67" s="47"/>
      <c r="AU67" s="49"/>
    </row>
    <row r="68" spans="1:47" x14ac:dyDescent="0.35">
      <c r="A68" s="12">
        <f t="shared" si="6"/>
        <v>0</v>
      </c>
      <c r="C68" s="185" t="s">
        <v>136</v>
      </c>
      <c r="D68" t="str">
        <f t="shared" si="32"/>
        <v/>
      </c>
      <c r="E68" t="str">
        <f t="shared" si="33"/>
        <v/>
      </c>
      <c r="F68" t="str">
        <f t="shared" si="34"/>
        <v/>
      </c>
      <c r="G68" s="45"/>
      <c r="H68" s="50" t="str">
        <f>IF(G68="","",H67+$U$5)</f>
        <v/>
      </c>
      <c r="I68" s="51" t="str">
        <f>IF(G68="","",I67+$U$4)</f>
        <v/>
      </c>
      <c r="J68" s="233"/>
      <c r="K68" s="37">
        <f>IFERROR(H68*'Muraba Veil Sale Summary'!$F$8,0)</f>
        <v>0</v>
      </c>
      <c r="L68" s="38">
        <f>IFERROR(H68*$U$7*'Muraba Veil Sale Summary'!$G$8,0)</f>
        <v>0</v>
      </c>
      <c r="M68" s="47">
        <f t="shared" si="35"/>
        <v>0</v>
      </c>
      <c r="N68" s="264"/>
      <c r="O68" s="36">
        <f>IFERROR(I68*'Muraba Veil Sale Summary'!$F$6,0)</f>
        <v>0</v>
      </c>
      <c r="P68" s="40">
        <f>IFERROR($U$7*'Muraba Veil Sale Summary'!$G$6*I68,0)</f>
        <v>0</v>
      </c>
      <c r="Q68" s="47">
        <f t="shared" si="36"/>
        <v>0</v>
      </c>
      <c r="R68" s="41">
        <f>J68*'Muraba Veil Sale Summary'!$F$6</f>
        <v>0</v>
      </c>
      <c r="S68" s="42">
        <f>J68*$U$7*'Muraba Veil Sale Summary'!$G$6</f>
        <v>0</v>
      </c>
      <c r="T68" s="39">
        <f t="shared" si="3"/>
        <v>0</v>
      </c>
      <c r="U68" s="49">
        <f t="shared" si="37"/>
        <v>0</v>
      </c>
      <c r="V68" s="12"/>
      <c r="W68" s="12"/>
      <c r="X68" s="12"/>
      <c r="Y68" s="183"/>
      <c r="Z68" s="183"/>
      <c r="AA68" s="12"/>
      <c r="AB68" s="12"/>
      <c r="AC68" s="12"/>
      <c r="AD68" s="12"/>
      <c r="AE68" s="12"/>
      <c r="AF68" s="12"/>
      <c r="AG68" s="12"/>
      <c r="AH68" s="25"/>
      <c r="AJ68" s="45"/>
      <c r="AK68" s="46"/>
      <c r="AL68" s="178"/>
      <c r="AM68" s="179"/>
      <c r="AN68" s="47"/>
      <c r="AO68" s="45"/>
      <c r="AP68" s="180"/>
      <c r="AQ68" s="47"/>
      <c r="AR68" s="48"/>
      <c r="AS68" s="46"/>
      <c r="AT68" s="47"/>
      <c r="AU68" s="49"/>
    </row>
    <row r="69" spans="1:47" x14ac:dyDescent="0.35">
      <c r="A69" s="12">
        <f t="shared" si="6"/>
        <v>0</v>
      </c>
      <c r="C69" s="185" t="s">
        <v>136</v>
      </c>
      <c r="D69" t="str">
        <f t="shared" si="32"/>
        <v/>
      </c>
      <c r="E69" t="str">
        <f t="shared" si="33"/>
        <v/>
      </c>
      <c r="F69" t="str">
        <f t="shared" si="34"/>
        <v/>
      </c>
      <c r="G69" s="45"/>
      <c r="H69" s="50" t="str">
        <f>IF(G69="","",H68+$U$5)</f>
        <v/>
      </c>
      <c r="I69" s="51" t="str">
        <f>IF(G69="","",I68+$U$4)</f>
        <v/>
      </c>
      <c r="J69" s="233"/>
      <c r="K69" s="37">
        <f>IFERROR(H69*'Muraba Veil Sale Summary'!$F$8,0)</f>
        <v>0</v>
      </c>
      <c r="L69" s="38">
        <f>IFERROR(H69*$U$7*'Muraba Veil Sale Summary'!$G$8,0)</f>
        <v>0</v>
      </c>
      <c r="M69" s="47">
        <f t="shared" si="35"/>
        <v>0</v>
      </c>
      <c r="N69" s="264"/>
      <c r="O69" s="36">
        <f>IFERROR(I69*'Muraba Veil Sale Summary'!$F$6,0)</f>
        <v>0</v>
      </c>
      <c r="P69" s="40">
        <f>IFERROR($U$7*'Muraba Veil Sale Summary'!$G$6*I69,0)</f>
        <v>0</v>
      </c>
      <c r="Q69" s="47">
        <f t="shared" si="36"/>
        <v>0</v>
      </c>
      <c r="R69" s="41">
        <f>J69*'Muraba Veil Sale Summary'!$F$6</f>
        <v>0</v>
      </c>
      <c r="S69" s="42">
        <f>J69*$U$7*'Muraba Veil Sale Summary'!$G$6</f>
        <v>0</v>
      </c>
      <c r="T69" s="39">
        <f t="shared" si="3"/>
        <v>0</v>
      </c>
      <c r="U69" s="49">
        <f t="shared" si="37"/>
        <v>0</v>
      </c>
      <c r="V69" s="12"/>
      <c r="W69" s="12"/>
      <c r="X69" s="12"/>
      <c r="Y69" s="183"/>
      <c r="Z69" s="183"/>
      <c r="AA69" s="12"/>
      <c r="AB69" s="12"/>
      <c r="AC69" s="12"/>
      <c r="AD69" s="12"/>
      <c r="AE69" s="12"/>
      <c r="AF69" s="12"/>
      <c r="AG69" s="12"/>
      <c r="AH69" s="25"/>
      <c r="AJ69" s="45"/>
      <c r="AK69" s="46"/>
      <c r="AL69" s="178"/>
      <c r="AM69" s="179"/>
      <c r="AN69" s="47"/>
      <c r="AO69" s="45"/>
      <c r="AP69" s="180"/>
      <c r="AQ69" s="47"/>
      <c r="AR69" s="48"/>
      <c r="AS69" s="46"/>
      <c r="AT69" s="47"/>
      <c r="AU69" s="49"/>
    </row>
    <row r="70" spans="1:47" x14ac:dyDescent="0.35">
      <c r="A70" s="12">
        <f t="shared" si="6"/>
        <v>0</v>
      </c>
      <c r="C70" s="185" t="s">
        <v>136</v>
      </c>
      <c r="D70" t="str">
        <f t="shared" si="32"/>
        <v/>
      </c>
      <c r="E70" t="str">
        <f t="shared" si="33"/>
        <v/>
      </c>
      <c r="F70" t="str">
        <f t="shared" si="34"/>
        <v/>
      </c>
      <c r="G70" s="45"/>
      <c r="H70" s="50" t="str">
        <f>IF(G70="","",H69+$U$5)</f>
        <v/>
      </c>
      <c r="I70" s="51" t="str">
        <f>IF(G70="","",I69+$U$4)</f>
        <v/>
      </c>
      <c r="J70" s="233"/>
      <c r="K70" s="37">
        <f>IFERROR(H70*'Muraba Veil Sale Summary'!$F$8,0)</f>
        <v>0</v>
      </c>
      <c r="L70" s="38">
        <f>IFERROR(H70*$U$7*'Muraba Veil Sale Summary'!$G$8,0)</f>
        <v>0</v>
      </c>
      <c r="M70" s="47">
        <f t="shared" si="35"/>
        <v>0</v>
      </c>
      <c r="N70" s="264"/>
      <c r="O70" s="36">
        <f>IFERROR(I70*'Muraba Veil Sale Summary'!$F$6,0)</f>
        <v>0</v>
      </c>
      <c r="P70" s="40">
        <f>IFERROR($U$7*'Muraba Veil Sale Summary'!$G$6*I70,0)</f>
        <v>0</v>
      </c>
      <c r="Q70" s="47">
        <f t="shared" si="36"/>
        <v>0</v>
      </c>
      <c r="R70" s="41">
        <f>J70*'Muraba Veil Sale Summary'!$F$6</f>
        <v>0</v>
      </c>
      <c r="S70" s="42">
        <f>J70*$U$7*'Muraba Veil Sale Summary'!$G$6</f>
        <v>0</v>
      </c>
      <c r="T70" s="39">
        <f t="shared" si="3"/>
        <v>0</v>
      </c>
      <c r="U70" s="49">
        <f t="shared" si="37"/>
        <v>0</v>
      </c>
      <c r="V70" s="12"/>
      <c r="W70" s="12"/>
      <c r="X70" s="12"/>
      <c r="Y70" s="183"/>
      <c r="Z70" s="183"/>
      <c r="AA70" s="12"/>
      <c r="AB70" s="12"/>
      <c r="AC70" s="12"/>
      <c r="AD70" s="12"/>
      <c r="AE70" s="12"/>
      <c r="AF70" s="12"/>
      <c r="AG70" s="12"/>
      <c r="AH70" s="25"/>
      <c r="AJ70" s="45"/>
      <c r="AK70" s="46"/>
      <c r="AL70" s="178"/>
      <c r="AM70" s="179"/>
      <c r="AN70" s="47"/>
      <c r="AO70" s="45"/>
      <c r="AP70" s="180"/>
      <c r="AQ70" s="47"/>
      <c r="AR70" s="48"/>
      <c r="AS70" s="46"/>
      <c r="AT70" s="47"/>
      <c r="AU70" s="49"/>
    </row>
    <row r="71" spans="1:47" x14ac:dyDescent="0.35">
      <c r="A71" s="12">
        <f t="shared" si="6"/>
        <v>0</v>
      </c>
      <c r="C71" s="185" t="s">
        <v>136</v>
      </c>
      <c r="D71" t="str">
        <f t="shared" si="32"/>
        <v/>
      </c>
      <c r="E71" t="str">
        <f t="shared" si="33"/>
        <v/>
      </c>
      <c r="F71" t="str">
        <f t="shared" si="34"/>
        <v/>
      </c>
      <c r="G71" s="45"/>
      <c r="H71" s="50" t="str">
        <f>IF(G71="","",H70+$U$5)</f>
        <v/>
      </c>
      <c r="I71" s="51" t="str">
        <f>IF(G71="","",I70+$U$4)</f>
        <v/>
      </c>
      <c r="J71" s="233"/>
      <c r="K71" s="37">
        <f>IFERROR(H71*'Muraba Veil Sale Summary'!$F$8,0)</f>
        <v>0</v>
      </c>
      <c r="L71" s="38">
        <f>IFERROR(H71*$U$7*'Muraba Veil Sale Summary'!$G$8,0)</f>
        <v>0</v>
      </c>
      <c r="M71" s="47">
        <f t="shared" si="35"/>
        <v>0</v>
      </c>
      <c r="N71" s="264"/>
      <c r="O71" s="36">
        <f>IFERROR(I71*'Muraba Veil Sale Summary'!$F$6,0)</f>
        <v>0</v>
      </c>
      <c r="P71" s="40">
        <f>IFERROR($U$7*'Muraba Veil Sale Summary'!$G$6*I71,0)</f>
        <v>0</v>
      </c>
      <c r="Q71" s="47">
        <f t="shared" si="36"/>
        <v>0</v>
      </c>
      <c r="R71" s="41">
        <f>J71*'Muraba Veil Sale Summary'!$F$6</f>
        <v>0</v>
      </c>
      <c r="S71" s="42">
        <f>J71*$U$7*'Muraba Veil Sale Summary'!$G$6</f>
        <v>0</v>
      </c>
      <c r="T71" s="39">
        <f t="shared" si="3"/>
        <v>0</v>
      </c>
      <c r="U71" s="49">
        <f t="shared" si="37"/>
        <v>0</v>
      </c>
      <c r="V71" s="12"/>
      <c r="W71" s="12"/>
      <c r="X71" s="12"/>
      <c r="Y71" s="183"/>
      <c r="Z71" s="183"/>
      <c r="AA71" s="12"/>
      <c r="AB71" s="12"/>
      <c r="AC71" s="12"/>
      <c r="AD71" s="12"/>
      <c r="AE71" s="12"/>
      <c r="AF71" s="12"/>
      <c r="AG71" s="12"/>
      <c r="AH71" s="25"/>
      <c r="AJ71" s="45"/>
      <c r="AK71" s="46"/>
      <c r="AL71" s="178"/>
      <c r="AM71" s="179"/>
      <c r="AN71" s="47"/>
      <c r="AO71" s="45"/>
      <c r="AP71" s="180"/>
      <c r="AQ71" s="47"/>
      <c r="AR71" s="48"/>
      <c r="AS71" s="46"/>
      <c r="AT71" s="47"/>
      <c r="AU71" s="49"/>
    </row>
    <row r="72" spans="1:47" x14ac:dyDescent="0.35">
      <c r="C72" s="185"/>
      <c r="G72" s="45"/>
      <c r="H72" s="12"/>
      <c r="I72" s="12"/>
      <c r="J72" s="12"/>
      <c r="K72" s="178"/>
      <c r="L72" s="179"/>
      <c r="M72" s="47"/>
      <c r="N72" s="264"/>
      <c r="O72" s="45"/>
      <c r="P72" s="180"/>
      <c r="Q72" s="47"/>
      <c r="R72" s="48"/>
      <c r="S72" s="46"/>
      <c r="T72" s="47"/>
      <c r="U72" s="49"/>
      <c r="V72" s="12"/>
      <c r="W72" s="12"/>
      <c r="X72" s="12"/>
      <c r="Y72" s="183"/>
      <c r="Z72" s="183"/>
      <c r="AA72" s="12"/>
      <c r="AB72" s="12"/>
      <c r="AC72" s="12"/>
      <c r="AD72" s="12"/>
      <c r="AE72" s="12"/>
      <c r="AF72" s="12"/>
      <c r="AG72" s="12"/>
      <c r="AH72" s="25"/>
      <c r="AJ72" s="45"/>
      <c r="AK72" s="46"/>
      <c r="AL72" s="178"/>
      <c r="AM72" s="179"/>
      <c r="AN72" s="47"/>
      <c r="AO72" s="45"/>
      <c r="AP72" s="180"/>
      <c r="AQ72" s="47"/>
      <c r="AR72" s="48"/>
      <c r="AS72" s="46"/>
      <c r="AT72" s="47"/>
      <c r="AU72" s="49"/>
    </row>
    <row r="73" spans="1:47" x14ac:dyDescent="0.35">
      <c r="C73" s="185"/>
      <c r="G73" s="45"/>
      <c r="H73" s="12"/>
      <c r="I73" s="12"/>
      <c r="J73" s="12"/>
      <c r="K73" s="178"/>
      <c r="L73" s="179"/>
      <c r="M73" s="47"/>
      <c r="N73" s="264"/>
      <c r="O73" s="45"/>
      <c r="P73" s="180"/>
      <c r="Q73" s="47"/>
      <c r="R73" s="48"/>
      <c r="S73" s="46"/>
      <c r="T73" s="47"/>
      <c r="U73" s="49"/>
      <c r="V73" s="12"/>
      <c r="W73" s="12"/>
      <c r="X73" s="12"/>
      <c r="Y73" s="183"/>
      <c r="Z73" s="183"/>
      <c r="AA73" s="12"/>
      <c r="AB73" s="12"/>
      <c r="AC73" s="12"/>
      <c r="AD73" s="12"/>
      <c r="AE73" s="12"/>
      <c r="AF73" s="12"/>
      <c r="AG73" s="12"/>
      <c r="AH73" s="25"/>
      <c r="AJ73" s="45"/>
      <c r="AK73" s="46"/>
      <c r="AL73" s="178"/>
      <c r="AM73" s="179"/>
      <c r="AN73" s="47"/>
      <c r="AO73" s="45"/>
      <c r="AP73" s="180"/>
      <c r="AQ73" s="47"/>
      <c r="AR73" s="48"/>
      <c r="AS73" s="46"/>
      <c r="AT73" s="47"/>
      <c r="AU73" s="49"/>
    </row>
    <row r="74" spans="1:47" x14ac:dyDescent="0.35">
      <c r="C74" s="185"/>
      <c r="G74" s="45"/>
      <c r="H74" s="12"/>
      <c r="I74" s="12"/>
      <c r="J74" s="12"/>
      <c r="K74" s="178"/>
      <c r="L74" s="179"/>
      <c r="M74" s="47"/>
      <c r="N74" s="264"/>
      <c r="O74" s="45"/>
      <c r="P74" s="180"/>
      <c r="Q74" s="47"/>
      <c r="R74" s="48"/>
      <c r="S74" s="46"/>
      <c r="T74" s="47"/>
      <c r="U74" s="49"/>
      <c r="V74" s="12"/>
      <c r="W74" s="12"/>
      <c r="X74" s="12"/>
      <c r="Y74" s="183"/>
      <c r="Z74" s="183"/>
      <c r="AA74" s="12"/>
      <c r="AB74" s="12"/>
      <c r="AC74" s="12"/>
      <c r="AD74" s="12"/>
      <c r="AE74" s="12"/>
      <c r="AF74" s="12"/>
      <c r="AG74" s="12"/>
      <c r="AH74" s="25"/>
      <c r="AJ74" s="45"/>
      <c r="AK74" s="46"/>
      <c r="AL74" s="178"/>
      <c r="AM74" s="179"/>
      <c r="AN74" s="47"/>
      <c r="AO74" s="45"/>
      <c r="AP74" s="180"/>
      <c r="AQ74" s="47"/>
      <c r="AR74" s="48"/>
      <c r="AS74" s="46"/>
      <c r="AT74" s="47"/>
      <c r="AU74" s="49"/>
    </row>
    <row r="75" spans="1:47" x14ac:dyDescent="0.35">
      <c r="C75" s="185"/>
      <c r="G75" s="45"/>
      <c r="H75" s="12"/>
      <c r="I75" s="12"/>
      <c r="J75" s="12"/>
      <c r="K75" s="178"/>
      <c r="L75" s="179"/>
      <c r="M75" s="47"/>
      <c r="N75" s="264"/>
      <c r="O75" s="45"/>
      <c r="P75" s="180"/>
      <c r="Q75" s="47"/>
      <c r="R75" s="48"/>
      <c r="S75" s="46"/>
      <c r="T75" s="47"/>
      <c r="U75" s="49"/>
      <c r="V75" s="12"/>
      <c r="W75" s="12"/>
      <c r="X75" s="12"/>
      <c r="Y75" s="183"/>
      <c r="Z75" s="183"/>
      <c r="AA75" s="12"/>
      <c r="AB75" s="12"/>
      <c r="AC75" s="12"/>
      <c r="AD75" s="12"/>
      <c r="AE75" s="12"/>
      <c r="AF75" s="12"/>
      <c r="AG75" s="12"/>
      <c r="AH75" s="25"/>
      <c r="AJ75" s="45"/>
      <c r="AK75" s="46"/>
      <c r="AL75" s="178"/>
      <c r="AM75" s="179"/>
      <c r="AN75" s="47"/>
      <c r="AO75" s="45"/>
      <c r="AP75" s="180"/>
      <c r="AQ75" s="47"/>
      <c r="AR75" s="48"/>
      <c r="AS75" s="46"/>
      <c r="AT75" s="47"/>
      <c r="AU75" s="49"/>
    </row>
    <row r="76" spans="1:47" x14ac:dyDescent="0.35">
      <c r="C76" s="185"/>
      <c r="G76" s="45"/>
      <c r="H76" s="178"/>
      <c r="I76" s="179"/>
      <c r="J76" s="234"/>
      <c r="K76" s="178"/>
      <c r="L76" s="179"/>
      <c r="M76" s="47"/>
      <c r="N76" s="264"/>
      <c r="O76" s="45"/>
      <c r="P76" s="180"/>
      <c r="Q76" s="47"/>
      <c r="R76" s="48"/>
      <c r="S76" s="46"/>
      <c r="T76" s="47"/>
      <c r="U76" s="49"/>
      <c r="V76" s="12"/>
      <c r="W76" s="12"/>
      <c r="X76" s="12"/>
      <c r="Y76" s="183"/>
      <c r="Z76" s="183"/>
      <c r="AA76" s="12"/>
      <c r="AB76" s="12"/>
      <c r="AC76" s="12"/>
      <c r="AD76" s="12"/>
      <c r="AE76" s="12"/>
      <c r="AF76" s="12"/>
      <c r="AG76" s="12"/>
      <c r="AH76" s="25"/>
      <c r="AJ76" s="45"/>
      <c r="AK76" s="46"/>
      <c r="AL76" s="178"/>
      <c r="AM76" s="179"/>
      <c r="AN76" s="47"/>
      <c r="AO76" s="45"/>
      <c r="AP76" s="180"/>
      <c r="AQ76" s="47"/>
      <c r="AR76" s="48"/>
      <c r="AS76" s="46"/>
      <c r="AT76" s="47"/>
      <c r="AU76" s="49"/>
    </row>
    <row r="77" spans="1:47" x14ac:dyDescent="0.35">
      <c r="C77" s="185"/>
      <c r="G77" s="45"/>
      <c r="H77" s="178"/>
      <c r="I77" s="179"/>
      <c r="J77" s="234"/>
      <c r="K77" s="178"/>
      <c r="L77" s="179"/>
      <c r="M77" s="47"/>
      <c r="N77" s="264"/>
      <c r="O77" s="45"/>
      <c r="P77" s="180"/>
      <c r="Q77" s="47"/>
      <c r="R77" s="48"/>
      <c r="S77" s="46"/>
      <c r="T77" s="47"/>
      <c r="U77" s="49"/>
      <c r="V77" s="12"/>
      <c r="W77" s="12"/>
      <c r="X77" s="12"/>
      <c r="Y77" s="183"/>
      <c r="Z77" s="183"/>
      <c r="AA77" s="12"/>
      <c r="AB77" s="12"/>
      <c r="AC77" s="12"/>
      <c r="AD77" s="12"/>
      <c r="AE77" s="12"/>
      <c r="AF77" s="12"/>
      <c r="AG77" s="12"/>
      <c r="AH77" s="25"/>
      <c r="AJ77" s="45"/>
      <c r="AK77" s="46"/>
      <c r="AL77" s="178"/>
      <c r="AM77" s="179"/>
      <c r="AN77" s="47"/>
      <c r="AO77" s="45"/>
      <c r="AP77" s="180"/>
      <c r="AQ77" s="47"/>
      <c r="AR77" s="48"/>
      <c r="AS77" s="46"/>
      <c r="AT77" s="47"/>
      <c r="AU77" s="49"/>
    </row>
    <row r="78" spans="1:47" x14ac:dyDescent="0.35">
      <c r="C78" s="185"/>
      <c r="G78" s="45"/>
      <c r="H78" s="178"/>
      <c r="I78" s="179"/>
      <c r="J78" s="234"/>
      <c r="K78" s="178"/>
      <c r="L78" s="179"/>
      <c r="M78" s="47"/>
      <c r="N78" s="264"/>
      <c r="O78" s="45"/>
      <c r="P78" s="180"/>
      <c r="Q78" s="47"/>
      <c r="R78" s="48"/>
      <c r="S78" s="46"/>
      <c r="T78" s="47"/>
      <c r="U78" s="49"/>
      <c r="V78" s="12"/>
      <c r="W78" s="12"/>
      <c r="X78" s="12"/>
      <c r="Y78" s="183"/>
      <c r="Z78" s="183"/>
      <c r="AA78" s="12"/>
      <c r="AB78" s="12"/>
      <c r="AC78" s="12"/>
      <c r="AD78" s="12"/>
      <c r="AE78" s="12"/>
      <c r="AF78" s="12"/>
      <c r="AG78" s="12"/>
      <c r="AH78" s="25"/>
      <c r="AJ78" s="45"/>
      <c r="AK78" s="46"/>
      <c r="AL78" s="178"/>
      <c r="AM78" s="179"/>
      <c r="AN78" s="47"/>
      <c r="AO78" s="45"/>
      <c r="AP78" s="180"/>
      <c r="AQ78" s="47"/>
      <c r="AR78" s="48"/>
      <c r="AS78" s="46"/>
      <c r="AT78" s="47"/>
      <c r="AU78" s="49"/>
    </row>
    <row r="79" spans="1:47" x14ac:dyDescent="0.35">
      <c r="C79" s="185"/>
      <c r="G79" s="45"/>
      <c r="H79" s="178"/>
      <c r="I79" s="179"/>
      <c r="J79" s="234"/>
      <c r="K79" s="178"/>
      <c r="L79" s="179"/>
      <c r="M79" s="47"/>
      <c r="N79" s="264"/>
      <c r="O79" s="45"/>
      <c r="P79" s="180"/>
      <c r="Q79" s="47"/>
      <c r="R79" s="48"/>
      <c r="S79" s="46"/>
      <c r="T79" s="47"/>
      <c r="U79" s="49"/>
      <c r="V79" s="12"/>
      <c r="W79" s="12"/>
      <c r="X79" s="12"/>
      <c r="Y79" s="183"/>
      <c r="Z79" s="183"/>
      <c r="AA79" s="12"/>
      <c r="AB79" s="12"/>
      <c r="AC79" s="12"/>
      <c r="AD79" s="12"/>
      <c r="AE79" s="12"/>
      <c r="AF79" s="12"/>
      <c r="AG79" s="12"/>
      <c r="AH79" s="25"/>
      <c r="AJ79" s="45"/>
      <c r="AK79" s="46"/>
      <c r="AL79" s="178"/>
      <c r="AM79" s="179"/>
      <c r="AN79" s="47"/>
      <c r="AO79" s="45"/>
      <c r="AP79" s="180"/>
      <c r="AQ79" s="47"/>
      <c r="AR79" s="48"/>
      <c r="AS79" s="46"/>
      <c r="AT79" s="47"/>
      <c r="AU79" s="49"/>
    </row>
    <row r="80" spans="1:47" x14ac:dyDescent="0.35">
      <c r="C80" s="185"/>
      <c r="G80" s="45"/>
      <c r="H80" s="178"/>
      <c r="I80" s="179"/>
      <c r="J80" s="234"/>
      <c r="K80" s="178"/>
      <c r="L80" s="179"/>
      <c r="M80" s="47"/>
      <c r="N80" s="264"/>
      <c r="O80" s="45"/>
      <c r="P80" s="180"/>
      <c r="Q80" s="47"/>
      <c r="R80" s="48"/>
      <c r="S80" s="46"/>
      <c r="T80" s="47"/>
      <c r="U80" s="49"/>
      <c r="V80" s="12"/>
      <c r="W80" s="12"/>
      <c r="X80" s="12"/>
      <c r="Y80" s="183"/>
      <c r="Z80" s="183"/>
      <c r="AA80" s="12"/>
      <c r="AB80" s="12"/>
      <c r="AC80" s="12"/>
      <c r="AD80" s="12"/>
      <c r="AE80" s="12"/>
      <c r="AF80" s="12"/>
      <c r="AG80" s="12"/>
      <c r="AH80" s="25"/>
      <c r="AJ80" s="45"/>
      <c r="AK80" s="46"/>
      <c r="AL80" s="178"/>
      <c r="AM80" s="179"/>
      <c r="AN80" s="47"/>
      <c r="AO80" s="45"/>
      <c r="AP80" s="180"/>
      <c r="AQ80" s="47"/>
      <c r="AR80" s="48"/>
      <c r="AS80" s="46"/>
      <c r="AT80" s="47"/>
      <c r="AU80" s="49"/>
    </row>
    <row r="81" spans="3:47" x14ac:dyDescent="0.35">
      <c r="C81" s="185"/>
      <c r="G81" s="45"/>
      <c r="H81" s="178"/>
      <c r="I81" s="179"/>
      <c r="J81" s="234"/>
      <c r="K81" s="178"/>
      <c r="L81" s="179"/>
      <c r="M81" s="47"/>
      <c r="N81" s="264"/>
      <c r="O81" s="45"/>
      <c r="P81" s="180"/>
      <c r="Q81" s="47"/>
      <c r="R81" s="48"/>
      <c r="S81" s="46"/>
      <c r="T81" s="47"/>
      <c r="U81" s="49"/>
      <c r="V81" s="12"/>
      <c r="W81" s="12"/>
      <c r="X81" s="12"/>
      <c r="Y81" s="183"/>
      <c r="Z81" s="183"/>
      <c r="AA81" s="12"/>
      <c r="AB81" s="12"/>
      <c r="AC81" s="12"/>
      <c r="AD81" s="12"/>
      <c r="AE81" s="12"/>
      <c r="AF81" s="12"/>
      <c r="AG81" s="12"/>
      <c r="AH81" s="25"/>
      <c r="AJ81" s="45"/>
      <c r="AK81" s="46"/>
      <c r="AL81" s="178"/>
      <c r="AM81" s="179"/>
      <c r="AN81" s="47"/>
      <c r="AO81" s="45"/>
      <c r="AP81" s="180"/>
      <c r="AQ81" s="47"/>
      <c r="AR81" s="48"/>
      <c r="AS81" s="46"/>
      <c r="AT81" s="47"/>
      <c r="AU81" s="49"/>
    </row>
    <row r="82" spans="3:47" ht="15" thickBot="1" x14ac:dyDescent="0.4">
      <c r="G82" s="45"/>
      <c r="H82" s="53"/>
      <c r="I82" s="54"/>
      <c r="J82" s="54"/>
      <c r="K82" s="55"/>
      <c r="L82" s="56"/>
      <c r="M82" s="57"/>
      <c r="N82" s="54"/>
      <c r="O82" s="52"/>
      <c r="P82" s="58"/>
      <c r="Q82" s="57"/>
      <c r="R82" s="59"/>
      <c r="S82" s="53"/>
      <c r="T82" s="57"/>
      <c r="U82" s="60"/>
      <c r="V82" s="12"/>
      <c r="W82" s="12"/>
      <c r="X82" s="12"/>
      <c r="Y82" s="183"/>
      <c r="Z82" s="183"/>
      <c r="AA82" s="12"/>
      <c r="AB82" s="12"/>
      <c r="AC82" s="12"/>
      <c r="AD82" s="12"/>
      <c r="AE82" s="12"/>
      <c r="AF82" s="12"/>
      <c r="AG82" s="12"/>
      <c r="AH82" s="25"/>
      <c r="AJ82" s="52"/>
      <c r="AK82" s="53"/>
      <c r="AL82" s="55"/>
      <c r="AM82" s="56"/>
      <c r="AN82" s="57"/>
      <c r="AO82" s="52"/>
      <c r="AP82" s="58"/>
      <c r="AQ82" s="57"/>
      <c r="AR82" s="59"/>
      <c r="AS82" s="53"/>
      <c r="AT82" s="57"/>
      <c r="AU82" s="60"/>
    </row>
    <row r="83" spans="3:47" x14ac:dyDescent="0.35">
      <c r="M83" s="12">
        <f>SUM(M15:M82)</f>
        <v>1361276465.7974563</v>
      </c>
      <c r="N83" s="12"/>
      <c r="Q83" s="12">
        <f>SUM(Q15:Q82)</f>
        <v>1177381504.8514841</v>
      </c>
      <c r="T83" s="12">
        <f>SUM(T15:T82)</f>
        <v>1184872712.4412076</v>
      </c>
    </row>
  </sheetData>
  <mergeCells count="15">
    <mergeCell ref="H13:I13"/>
    <mergeCell ref="K13:M13"/>
    <mergeCell ref="O13:Q13"/>
    <mergeCell ref="R13:T13"/>
    <mergeCell ref="Y13:AA13"/>
    <mergeCell ref="G2:H2"/>
    <mergeCell ref="I2:K2"/>
    <mergeCell ref="G12:U12"/>
    <mergeCell ref="W12:AH12"/>
    <mergeCell ref="AJ12:AU12"/>
    <mergeCell ref="AB13:AD13"/>
    <mergeCell ref="AE13:AG13"/>
    <mergeCell ref="AL13:AN13"/>
    <mergeCell ref="AO13:AQ13"/>
    <mergeCell ref="AR13:AT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5772-C898-40DE-8590-3EB8498AAD19}">
  <dimension ref="B2:Z77"/>
  <sheetViews>
    <sheetView tabSelected="1" zoomScale="58" zoomScaleNormal="58" zoomScaleSheetLayoutView="100" workbookViewId="0">
      <selection activeCell="O12" sqref="O12"/>
    </sheetView>
  </sheetViews>
  <sheetFormatPr defaultColWidth="8.81640625" defaultRowHeight="14.5" x14ac:dyDescent="0.35"/>
  <cols>
    <col min="2" max="2" width="14.6328125" bestFit="1" customWidth="1"/>
    <col min="3" max="4" width="14.6328125" customWidth="1"/>
    <col min="5" max="5" width="8.1796875" bestFit="1" customWidth="1"/>
    <col min="6" max="6" width="10.1796875" bestFit="1" customWidth="1"/>
    <col min="7" max="7" width="9.08984375" customWidth="1"/>
    <col min="8" max="9" width="10.81640625" bestFit="1" customWidth="1"/>
    <col min="10" max="10" width="13" bestFit="1" customWidth="1"/>
    <col min="11" max="12" width="12" bestFit="1" customWidth="1"/>
    <col min="13" max="13" width="14.6328125" bestFit="1" customWidth="1"/>
    <col min="14" max="14" width="13" bestFit="1" customWidth="1"/>
    <col min="15" max="15" width="26" bestFit="1" customWidth="1"/>
    <col min="16" max="16" width="17.453125" bestFit="1" customWidth="1"/>
    <col min="17" max="17" width="12" bestFit="1" customWidth="1"/>
    <col min="18" max="18" width="14.6328125" bestFit="1" customWidth="1"/>
    <col min="19" max="19" width="13" bestFit="1" customWidth="1"/>
    <col min="20" max="21" width="12" bestFit="1" customWidth="1"/>
    <col min="22" max="22" width="13" bestFit="1" customWidth="1"/>
    <col min="23" max="24" width="7.6328125" bestFit="1" customWidth="1"/>
    <col min="25" max="25" width="13" bestFit="1" customWidth="1"/>
    <col min="26" max="26" width="12.81640625" bestFit="1" customWidth="1"/>
  </cols>
  <sheetData>
    <row r="2" spans="2:24" x14ac:dyDescent="0.35">
      <c r="E2" s="336" t="s">
        <v>27</v>
      </c>
      <c r="F2" s="336"/>
      <c r="G2" s="336" t="s">
        <v>28</v>
      </c>
      <c r="H2" s="336"/>
      <c r="I2" s="336" t="s">
        <v>82</v>
      </c>
      <c r="J2" s="336"/>
      <c r="O2" t="s">
        <v>83</v>
      </c>
      <c r="Q2" s="64">
        <v>104.36089965100291</v>
      </c>
    </row>
    <row r="3" spans="2:24" x14ac:dyDescent="0.35">
      <c r="B3" t="s">
        <v>61</v>
      </c>
      <c r="E3" s="19">
        <f>7096.54117626827+100</f>
        <v>7196.5411762682697</v>
      </c>
      <c r="F3" s="19">
        <f>Q4</f>
        <v>0</v>
      </c>
      <c r="G3" s="19">
        <v>6250</v>
      </c>
      <c r="H3" s="19">
        <f>Q3</f>
        <v>104</v>
      </c>
      <c r="I3" s="19">
        <v>10179.707079649033</v>
      </c>
      <c r="J3" s="19">
        <f>Q6</f>
        <v>496.57107705604903</v>
      </c>
      <c r="K3" s="19"/>
      <c r="L3" s="65">
        <v>6000</v>
      </c>
      <c r="M3" s="19"/>
      <c r="N3" s="19"/>
      <c r="O3" s="66" t="s">
        <v>84</v>
      </c>
      <c r="Q3" s="64">
        <v>104</v>
      </c>
      <c r="S3" s="19"/>
      <c r="T3" s="19"/>
      <c r="U3" s="19"/>
    </row>
    <row r="4" spans="2:24" x14ac:dyDescent="0.35">
      <c r="B4" t="s">
        <v>65</v>
      </c>
      <c r="E4" s="19">
        <f>E3*1.05</f>
        <v>7556.3682350816835</v>
      </c>
      <c r="F4" s="19">
        <f>F3</f>
        <v>0</v>
      </c>
      <c r="G4" s="19">
        <f t="shared" ref="G4" si="0">G3*1.05</f>
        <v>6562.5</v>
      </c>
      <c r="H4" s="19">
        <f>H3</f>
        <v>104</v>
      </c>
      <c r="I4" s="19">
        <f t="shared" ref="I4" si="1">I3*1.05</f>
        <v>10688.692433631486</v>
      </c>
      <c r="J4" s="19">
        <f>J3</f>
        <v>496.57107705604903</v>
      </c>
      <c r="K4" s="19"/>
      <c r="L4" s="19">
        <v>6061.1237781353484</v>
      </c>
      <c r="M4" s="19"/>
      <c r="N4" s="19"/>
      <c r="Q4" s="12"/>
    </row>
    <row r="5" spans="2:24" x14ac:dyDescent="0.35">
      <c r="B5" t="s">
        <v>67</v>
      </c>
      <c r="E5" s="19">
        <f>E4*1.07</f>
        <v>8085.3140115374017</v>
      </c>
      <c r="F5" s="19">
        <f>F4</f>
        <v>0</v>
      </c>
      <c r="G5" s="19">
        <f t="shared" ref="G5" si="2">G4*1.07</f>
        <v>7021.875</v>
      </c>
      <c r="H5" s="19">
        <f>H4</f>
        <v>104</v>
      </c>
      <c r="I5" s="19">
        <f t="shared" ref="I5" si="3">I4*1.07</f>
        <v>11436.90090398569</v>
      </c>
      <c r="J5" s="19">
        <f>J4</f>
        <v>496.57107705604903</v>
      </c>
      <c r="K5" s="19"/>
      <c r="L5" s="19"/>
      <c r="M5" s="19"/>
      <c r="N5" s="19"/>
      <c r="O5" t="s">
        <v>85</v>
      </c>
      <c r="Q5" s="12">
        <v>308.36986190663265</v>
      </c>
      <c r="T5" s="12">
        <f>E11-Q5-Q4-Q3-Q6</f>
        <v>9164.4745499873534</v>
      </c>
    </row>
    <row r="6" spans="2:24" x14ac:dyDescent="0.35">
      <c r="E6" s="19"/>
      <c r="F6" s="19"/>
      <c r="G6" s="19"/>
      <c r="H6" s="19"/>
      <c r="I6" s="19"/>
      <c r="J6" s="19"/>
      <c r="K6" s="19"/>
      <c r="L6" s="19"/>
      <c r="M6" s="19"/>
      <c r="N6" s="19"/>
      <c r="O6" t="s">
        <v>313</v>
      </c>
      <c r="Q6" s="12">
        <v>496.57107705604903</v>
      </c>
    </row>
    <row r="7" spans="2:24" x14ac:dyDescent="0.35">
      <c r="B7" s="23" t="s">
        <v>70</v>
      </c>
      <c r="C7" s="23"/>
      <c r="D7" s="23"/>
      <c r="E7" s="24">
        <f>AVERAGE(E3:E6)</f>
        <v>7612.741140962451</v>
      </c>
      <c r="F7" s="24">
        <f>SUM(F3:F6)</f>
        <v>0</v>
      </c>
      <c r="G7" s="24">
        <f t="shared" ref="G7" si="4">AVERAGE(G3:G6)</f>
        <v>6611.458333333333</v>
      </c>
      <c r="H7" s="24">
        <f t="shared" ref="H7" si="5">SUM(H3:H6)</f>
        <v>312</v>
      </c>
      <c r="I7" s="24">
        <f t="shared" ref="I7" si="6">AVERAGE(I3:I6)</f>
        <v>10768.43347242207</v>
      </c>
      <c r="J7" s="24">
        <f t="shared" ref="J7" si="7">SUM(J3:J6)</f>
        <v>1489.7132311681471</v>
      </c>
      <c r="K7" s="25"/>
      <c r="L7" s="25"/>
      <c r="M7" s="25"/>
      <c r="N7" s="25"/>
      <c r="O7" t="s">
        <v>86</v>
      </c>
      <c r="Q7" s="12">
        <v>305.48299087435953</v>
      </c>
    </row>
    <row r="8" spans="2:24" x14ac:dyDescent="0.35">
      <c r="B8" s="67"/>
      <c r="C8" s="67"/>
      <c r="D8" s="67"/>
      <c r="E8" s="25"/>
      <c r="F8" s="25"/>
      <c r="G8" s="25"/>
      <c r="H8" s="25"/>
      <c r="I8" s="25"/>
      <c r="J8" s="25"/>
      <c r="K8" s="25"/>
      <c r="L8" s="25"/>
      <c r="M8" s="25"/>
      <c r="N8" s="25"/>
      <c r="O8" t="s">
        <v>87</v>
      </c>
      <c r="Q8" s="61">
        <v>0.65</v>
      </c>
    </row>
    <row r="9" spans="2:24" x14ac:dyDescent="0.35">
      <c r="B9" s="67"/>
      <c r="C9" s="67"/>
      <c r="D9" s="67"/>
      <c r="E9" s="25"/>
      <c r="F9" s="25">
        <f>G11-E11</f>
        <v>426.58451104996493</v>
      </c>
      <c r="G9" s="25"/>
      <c r="H9" s="25"/>
      <c r="I9" s="25"/>
      <c r="J9" s="25"/>
      <c r="K9" s="25"/>
      <c r="L9" s="25"/>
      <c r="M9" s="25"/>
      <c r="N9" s="25"/>
      <c r="O9" t="s">
        <v>88</v>
      </c>
      <c r="Q9" s="61">
        <v>0.55000000000000004</v>
      </c>
    </row>
    <row r="10" spans="2:24" x14ac:dyDescent="0.35">
      <c r="E10" s="336" t="s">
        <v>89</v>
      </c>
      <c r="F10" s="336"/>
      <c r="G10" s="336" t="s">
        <v>90</v>
      </c>
      <c r="H10" s="336"/>
      <c r="I10" s="336" t="s">
        <v>91</v>
      </c>
      <c r="J10" s="336"/>
      <c r="K10" s="25"/>
      <c r="L10" s="25"/>
      <c r="M10" s="25"/>
      <c r="N10" s="25"/>
      <c r="O10" t="s">
        <v>92</v>
      </c>
      <c r="Q10" s="61">
        <v>0.75</v>
      </c>
    </row>
    <row r="11" spans="2:24" x14ac:dyDescent="0.35">
      <c r="B11" t="s">
        <v>61</v>
      </c>
      <c r="E11" s="19">
        <v>10073.415488950035</v>
      </c>
      <c r="F11" s="19">
        <f>Q5</f>
        <v>308.36986190663265</v>
      </c>
      <c r="G11" s="19">
        <v>10500</v>
      </c>
      <c r="H11" s="19">
        <f>Q7</f>
        <v>305.48299087435953</v>
      </c>
      <c r="I11" s="19">
        <v>15798.80606325633</v>
      </c>
      <c r="J11" s="19"/>
      <c r="O11" t="s">
        <v>314</v>
      </c>
      <c r="Q11" s="61">
        <v>0.65</v>
      </c>
    </row>
    <row r="12" spans="2:24" x14ac:dyDescent="0.35">
      <c r="B12" t="s">
        <v>65</v>
      </c>
      <c r="E12" s="19">
        <f>E11*1.05</f>
        <v>10577.086263397538</v>
      </c>
      <c r="F12" s="19">
        <f>F11</f>
        <v>308.36986190663265</v>
      </c>
      <c r="G12" s="19">
        <f t="shared" ref="G12" si="8">G11*1.05</f>
        <v>11025</v>
      </c>
      <c r="H12" s="19">
        <f>H11</f>
        <v>305.48299087435953</v>
      </c>
      <c r="I12" s="19">
        <f t="shared" ref="I12" si="9">I11*1.05</f>
        <v>16588.746366419149</v>
      </c>
      <c r="J12" s="19"/>
      <c r="O12" t="s">
        <v>93</v>
      </c>
      <c r="R12" s="12"/>
    </row>
    <row r="13" spans="2:24" x14ac:dyDescent="0.35">
      <c r="B13" t="s">
        <v>67</v>
      </c>
      <c r="E13" s="19">
        <f>E12*1.07</f>
        <v>11317.482301835365</v>
      </c>
      <c r="F13" s="19">
        <f>F12</f>
        <v>308.36986190663265</v>
      </c>
      <c r="G13" s="19">
        <f t="shared" ref="G13" si="10">G12*1.07</f>
        <v>11796.75</v>
      </c>
      <c r="H13" s="19">
        <f>H12</f>
        <v>305.48299087435953</v>
      </c>
      <c r="I13" s="19">
        <f t="shared" ref="I13" si="11">I12*1.07</f>
        <v>17749.958612068491</v>
      </c>
      <c r="J13" s="19"/>
      <c r="O13" t="s">
        <v>94</v>
      </c>
    </row>
    <row r="14" spans="2:24" x14ac:dyDescent="0.35">
      <c r="E14" s="19"/>
      <c r="F14" s="19"/>
      <c r="G14" s="19"/>
      <c r="H14" s="19"/>
      <c r="I14" s="19"/>
      <c r="J14" s="19"/>
      <c r="O14" t="s">
        <v>95</v>
      </c>
      <c r="Q14" s="68">
        <f>J20-'Launches Residences'!M41</f>
        <v>6843673.1999999993</v>
      </c>
    </row>
    <row r="15" spans="2:24" x14ac:dyDescent="0.35">
      <c r="B15" s="23" t="s">
        <v>70</v>
      </c>
      <c r="C15" s="23"/>
      <c r="D15" s="23"/>
      <c r="E15" s="24">
        <f>AVERAGE(E11:E14)</f>
        <v>10655.994684727646</v>
      </c>
      <c r="F15" s="24">
        <f>SUM(F11:F14)</f>
        <v>925.10958571989795</v>
      </c>
      <c r="G15" s="24">
        <f t="shared" ref="G15" si="12">AVERAGE(G11:G14)</f>
        <v>11107.25</v>
      </c>
      <c r="H15" s="24">
        <f t="shared" ref="H15" si="13">SUM(H11:H14)</f>
        <v>916.44897262307859</v>
      </c>
      <c r="I15" s="24">
        <f t="shared" ref="I15" si="14">AVERAGE(I11:I14)</f>
        <v>16712.503680581325</v>
      </c>
      <c r="J15" s="24">
        <f t="shared" ref="J15" si="15">SUM(J11:J14)</f>
        <v>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2:24" ht="15" thickBot="1" x14ac:dyDescent="0.4"/>
    <row r="17" spans="2:26" ht="15" thickBot="1" x14ac:dyDescent="0.4">
      <c r="E17" s="277" t="s">
        <v>61</v>
      </c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9"/>
    </row>
    <row r="18" spans="2:26" x14ac:dyDescent="0.35">
      <c r="E18" s="69" t="s">
        <v>4</v>
      </c>
      <c r="F18" s="269" t="s">
        <v>72</v>
      </c>
      <c r="G18" s="269"/>
      <c r="H18" s="326" t="s">
        <v>77</v>
      </c>
      <c r="I18" s="326"/>
      <c r="J18" s="327"/>
      <c r="K18" s="326" t="s">
        <v>96</v>
      </c>
      <c r="L18" s="326"/>
      <c r="M18" s="327"/>
      <c r="N18" s="328" t="s">
        <v>79</v>
      </c>
      <c r="O18" s="329"/>
      <c r="P18" s="329"/>
      <c r="Q18" s="330" t="s">
        <v>78</v>
      </c>
      <c r="R18" s="331"/>
      <c r="S18" s="332"/>
      <c r="T18" s="330" t="s">
        <v>80</v>
      </c>
      <c r="U18" s="331"/>
      <c r="V18" s="332"/>
      <c r="W18" s="333" t="s">
        <v>81</v>
      </c>
      <c r="X18" s="334"/>
      <c r="Y18" s="335"/>
    </row>
    <row r="19" spans="2:26" x14ac:dyDescent="0.35">
      <c r="B19" t="s">
        <v>17</v>
      </c>
      <c r="C19" t="s">
        <v>137</v>
      </c>
      <c r="D19" t="s">
        <v>137</v>
      </c>
      <c r="E19" s="30"/>
      <c r="F19" s="70" t="s">
        <v>97</v>
      </c>
      <c r="G19" s="71" t="s">
        <v>96</v>
      </c>
      <c r="H19" s="72" t="s">
        <v>14</v>
      </c>
      <c r="I19" s="73" t="s">
        <v>15</v>
      </c>
      <c r="J19" s="74" t="s">
        <v>16</v>
      </c>
      <c r="K19" s="72" t="s">
        <v>14</v>
      </c>
      <c r="L19" s="73" t="s">
        <v>15</v>
      </c>
      <c r="M19" s="74" t="s">
        <v>16</v>
      </c>
      <c r="N19" s="72" t="s">
        <v>14</v>
      </c>
      <c r="O19" s="73" t="s">
        <v>15</v>
      </c>
      <c r="P19" s="73" t="s">
        <v>16</v>
      </c>
      <c r="Q19" s="75" t="s">
        <v>14</v>
      </c>
      <c r="R19" s="15" t="s">
        <v>15</v>
      </c>
      <c r="S19" s="16" t="s">
        <v>16</v>
      </c>
      <c r="T19" s="75" t="s">
        <v>14</v>
      </c>
      <c r="U19" s="15" t="s">
        <v>15</v>
      </c>
      <c r="V19" s="16" t="s">
        <v>16</v>
      </c>
      <c r="W19" s="75" t="s">
        <v>14</v>
      </c>
      <c r="X19" s="15" t="s">
        <v>15</v>
      </c>
      <c r="Y19" s="76" t="s">
        <v>16</v>
      </c>
    </row>
    <row r="20" spans="2:26" x14ac:dyDescent="0.35">
      <c r="B20" t="s">
        <v>135</v>
      </c>
      <c r="C20" s="17">
        <f>MAX('Launches Residences'!$D$15:$D$82)+100</f>
        <v>6001</v>
      </c>
      <c r="D20" s="17">
        <f>IFERROR(C20+1,"")</f>
        <v>6002</v>
      </c>
      <c r="E20" s="30" t="str">
        <f>LEFT(C20,2)</f>
        <v>60</v>
      </c>
      <c r="F20" s="255">
        <v>7096.541176268267</v>
      </c>
      <c r="G20" s="256">
        <v>5700.0000319481105</v>
      </c>
      <c r="H20" s="257">
        <f>IFERROR(F20*'Muraba Veil Sale Summary'!$F$9,0)</f>
        <v>20441800.195483487</v>
      </c>
      <c r="I20" s="258">
        <f>IFERROR(F20*$Q$8*'Muraba Veil Sale Summary'!$G$9,0)</f>
        <v>9498780.0045165159</v>
      </c>
      <c r="J20" s="259">
        <f>H20+I20</f>
        <v>29940580.200000003</v>
      </c>
      <c r="K20" s="260">
        <f>IFERROR(G20*'Muraba Veil Sale Summary'!$F$10,0)</f>
        <v>26468240.54374468</v>
      </c>
      <c r="L20" s="261">
        <f>IFERROR(G20*$Q$9*'Muraba Veil Sale Summary'!$G$10,0)</f>
        <v>16486388.456255322</v>
      </c>
      <c r="M20" s="259">
        <f>K20+L20</f>
        <v>42954629</v>
      </c>
      <c r="N20" s="80"/>
      <c r="O20" s="81"/>
      <c r="P20" s="82"/>
      <c r="Q20" s="83"/>
      <c r="R20" s="84"/>
      <c r="S20" s="85"/>
      <c r="T20" s="86"/>
      <c r="U20" s="87"/>
      <c r="V20" s="85"/>
      <c r="W20" s="86"/>
      <c r="X20" s="87"/>
      <c r="Y20" s="88"/>
      <c r="Z20" s="12"/>
    </row>
    <row r="21" spans="2:26" x14ac:dyDescent="0.35">
      <c r="B21" t="s">
        <v>135</v>
      </c>
      <c r="C21" s="17">
        <f t="shared" ref="C21:C32" si="16">IF(E21="","",C20+100)</f>
        <v>6101</v>
      </c>
      <c r="D21">
        <f t="shared" ref="D21:D44" si="17">IFERROR(C21+1,"")</f>
        <v>6102</v>
      </c>
      <c r="E21" s="36">
        <f>E20+1</f>
        <v>61</v>
      </c>
      <c r="F21" s="94">
        <v>7200.9020759192699</v>
      </c>
      <c r="G21" s="89">
        <v>6354</v>
      </c>
      <c r="H21" s="257">
        <f>IFERROR(F21*'Muraba Veil Sale Summary'!$F$9,0)</f>
        <v>20742414.904240593</v>
      </c>
      <c r="I21" s="258">
        <f>IFERROR(F21*$Q$8*'Muraba Veil Sale Summary'!$G$9,0)</f>
        <v>9638467.9457594045</v>
      </c>
      <c r="J21" s="259">
        <f t="shared" ref="J21:J42" si="18">H21+I21</f>
        <v>30380882.849999998</v>
      </c>
      <c r="K21" s="80">
        <f>IFERROR(G21*'Muraba Veil Sale Summary'!$F$10,0)</f>
        <v>29505122.714442238</v>
      </c>
      <c r="L21" s="81">
        <f>IFERROR(G21*$Q$9*'Muraba Veil Sale Summary'!$G$10,0)</f>
        <v>18377984.502439376</v>
      </c>
      <c r="M21" s="79">
        <f t="shared" ref="M21:M26" si="19">K21+L21</f>
        <v>47883107.216881618</v>
      </c>
      <c r="N21" s="80"/>
      <c r="O21" s="81"/>
      <c r="P21" s="90"/>
      <c r="Q21" s="83"/>
      <c r="R21" s="84"/>
      <c r="S21" s="85"/>
      <c r="T21" s="86"/>
      <c r="U21" s="87"/>
      <c r="V21" s="85"/>
      <c r="W21" s="86"/>
      <c r="X21" s="87"/>
      <c r="Y21" s="88"/>
      <c r="Z21" s="12"/>
    </row>
    <row r="22" spans="2:26" x14ac:dyDescent="0.35">
      <c r="B22" t="s">
        <v>135</v>
      </c>
      <c r="C22" s="17">
        <f>IF(E22="","",C21+200)</f>
        <v>6301</v>
      </c>
      <c r="D22">
        <f t="shared" ref="D22:D26" si="20">IFERROR(C22+1,"")</f>
        <v>6302</v>
      </c>
      <c r="E22" s="36">
        <f>E21+2</f>
        <v>63</v>
      </c>
      <c r="F22" s="94">
        <v>7287.1561474234104</v>
      </c>
      <c r="G22" s="89">
        <v>6458</v>
      </c>
      <c r="H22" s="257">
        <f>IFERROR(F22*'Muraba Veil Sale Summary'!$F$9,0)</f>
        <v>20990872.350190587</v>
      </c>
      <c r="I22" s="258">
        <f>IFERROR(F22*$Q$8*'Muraba Veil Sale Summary'!$G$9,0)</f>
        <v>9753919.7453560233</v>
      </c>
      <c r="J22" s="259">
        <f t="shared" si="18"/>
        <v>30744792.095546611</v>
      </c>
      <c r="K22" s="80">
        <f>IFERROR(G22*'Muraba Veil Sale Summary'!$F$10,0)</f>
        <v>29988052.012884479</v>
      </c>
      <c r="L22" s="81">
        <f>IFERROR(G22*$Q$9*'Muraba Veil Sale Summary'!$G$10,0)</f>
        <v>18678788.781358749</v>
      </c>
      <c r="M22" s="79">
        <f t="shared" si="19"/>
        <v>48666840.794243231</v>
      </c>
      <c r="N22" s="36"/>
      <c r="O22" s="91"/>
      <c r="P22" s="82"/>
      <c r="Q22" s="83"/>
      <c r="R22" s="84"/>
      <c r="S22" s="85"/>
      <c r="T22" s="86"/>
      <c r="U22" s="87"/>
      <c r="V22" s="85"/>
      <c r="W22" s="86"/>
      <c r="X22" s="87"/>
      <c r="Y22" s="88"/>
      <c r="Z22" s="12"/>
    </row>
    <row r="23" spans="2:26" x14ac:dyDescent="0.35">
      <c r="B23" t="s">
        <v>135</v>
      </c>
      <c r="C23" s="17">
        <f t="shared" ref="C23:C25" si="21">IF(E23="","",C22+100)</f>
        <v>6401</v>
      </c>
      <c r="D23">
        <f t="shared" si="20"/>
        <v>6402</v>
      </c>
      <c r="E23" s="36">
        <f t="shared" ref="E23:E26" si="22">E22+1</f>
        <v>64</v>
      </c>
      <c r="F23" s="94">
        <v>7213.4253440578914</v>
      </c>
      <c r="G23" s="89">
        <v>6562</v>
      </c>
      <c r="H23" s="257">
        <f>IFERROR(F23*'Muraba Veil Sale Summary'!$F$9,0)</f>
        <v>20778488.554590184</v>
      </c>
      <c r="I23" s="258">
        <f>IFERROR(F23*$Q$8*'Muraba Veil Sale Summary'!$G$9,0)</f>
        <v>9655230.4454098158</v>
      </c>
      <c r="J23" s="259">
        <f t="shared" si="18"/>
        <v>30433719</v>
      </c>
      <c r="K23" s="80">
        <f>IFERROR(G23*'Muraba Veil Sale Summary'!$F$10,0)</f>
        <v>30470981.31132672</v>
      </c>
      <c r="L23" s="81">
        <f>IFERROR(G23*$Q$9*'Muraba Veil Sale Summary'!$G$10,0)</f>
        <v>18979593.060278121</v>
      </c>
      <c r="M23" s="79">
        <f t="shared" si="19"/>
        <v>49450574.371604845</v>
      </c>
      <c r="N23" s="36"/>
      <c r="O23" s="91"/>
      <c r="P23" s="82"/>
      <c r="Q23" s="83"/>
      <c r="R23" s="84"/>
      <c r="S23" s="85"/>
      <c r="T23" s="86"/>
      <c r="U23" s="87"/>
      <c r="V23" s="85"/>
      <c r="W23" s="86"/>
      <c r="X23" s="87"/>
      <c r="Y23" s="88"/>
      <c r="Z23" s="12"/>
    </row>
    <row r="24" spans="2:26" x14ac:dyDescent="0.35">
      <c r="B24" t="s">
        <v>135</v>
      </c>
      <c r="C24" s="17">
        <f t="shared" si="21"/>
        <v>6501</v>
      </c>
      <c r="D24">
        <f t="shared" si="20"/>
        <v>6502</v>
      </c>
      <c r="E24" s="36">
        <f t="shared" si="22"/>
        <v>65</v>
      </c>
      <c r="F24" s="94">
        <v>7827.0674738252874</v>
      </c>
      <c r="G24" s="42">
        <v>6875.0826989530078</v>
      </c>
      <c r="H24" s="257">
        <f>IFERROR(F24*'Muraba Veil Sale Summary'!$F$9,0)</f>
        <v>22546103.156783238</v>
      </c>
      <c r="I24" s="258">
        <f>IFERROR(F24*$Q$8*'Muraba Veil Sale Summary'!$G$9,0)</f>
        <v>10476595.593216736</v>
      </c>
      <c r="J24" s="259">
        <f t="shared" si="18"/>
        <v>33022698.749999974</v>
      </c>
      <c r="K24" s="80">
        <f>IFERROR(G24*'Muraba Veil Sale Summary'!$F$10,0)</f>
        <v>31924796.774401519</v>
      </c>
      <c r="L24" s="81">
        <f>IFERROR(G24*$Q$9*'Muraba Veil Sale Summary'!$G$10,0)</f>
        <v>19885137.440092456</v>
      </c>
      <c r="M24" s="79">
        <f t="shared" si="19"/>
        <v>51809934.214493975</v>
      </c>
      <c r="N24" s="36"/>
      <c r="O24" s="91"/>
      <c r="P24" s="82"/>
      <c r="Q24" s="83"/>
      <c r="R24" s="84"/>
      <c r="S24" s="85"/>
      <c r="T24" s="86"/>
      <c r="U24" s="87"/>
      <c r="V24" s="85"/>
      <c r="W24" s="86"/>
      <c r="X24" s="87"/>
      <c r="Y24" s="88"/>
      <c r="Z24" s="12"/>
    </row>
    <row r="25" spans="2:26" x14ac:dyDescent="0.35">
      <c r="B25" t="s">
        <v>135</v>
      </c>
      <c r="C25" s="17">
        <f t="shared" si="21"/>
        <v>6601</v>
      </c>
      <c r="D25">
        <f t="shared" si="20"/>
        <v>6602</v>
      </c>
      <c r="E25" s="36">
        <f t="shared" si="22"/>
        <v>66</v>
      </c>
      <c r="F25" s="94">
        <v>7931.4283734762903</v>
      </c>
      <c r="G25" s="89">
        <v>6979.0826989530087</v>
      </c>
      <c r="H25" s="257">
        <f>IFERROR(F25*'Muraba Veil Sale Summary'!$F$9,0)</f>
        <v>22846717.865540344</v>
      </c>
      <c r="I25" s="258">
        <f>IFERROR(F25*$Q$8*'Muraba Veil Sale Summary'!$G$9,0)</f>
        <v>10616283.534459624</v>
      </c>
      <c r="J25" s="259">
        <f t="shared" si="18"/>
        <v>33463001.399999969</v>
      </c>
      <c r="K25" s="80">
        <f>IFERROR(G25*'Muraba Veil Sale Summary'!$F$10,0)</f>
        <v>32407726.07284376</v>
      </c>
      <c r="L25" s="81">
        <f>IFERROR(G25*$Q$9*'Muraba Veil Sale Summary'!$G$10,0)</f>
        <v>20185941.719011832</v>
      </c>
      <c r="M25" s="79">
        <f t="shared" si="19"/>
        <v>52593667.791855589</v>
      </c>
      <c r="N25" s="36"/>
      <c r="O25" s="91"/>
      <c r="P25" s="82"/>
      <c r="Q25" s="83"/>
      <c r="R25" s="84"/>
      <c r="S25" s="85"/>
      <c r="T25" s="86"/>
      <c r="U25" s="87"/>
      <c r="V25" s="85"/>
      <c r="W25" s="86"/>
      <c r="X25" s="87"/>
      <c r="Y25" s="88"/>
      <c r="Z25" s="12"/>
    </row>
    <row r="26" spans="2:26" x14ac:dyDescent="0.35">
      <c r="B26" t="s">
        <v>135</v>
      </c>
      <c r="C26" s="17">
        <f>IF(E26="","",C25+200)</f>
        <v>6801</v>
      </c>
      <c r="D26">
        <f t="shared" si="20"/>
        <v>6802</v>
      </c>
      <c r="E26" s="36">
        <f t="shared" si="22"/>
        <v>67</v>
      </c>
      <c r="F26" s="94">
        <v>8035.7892731272923</v>
      </c>
      <c r="G26" s="89">
        <v>7083.0826989530087</v>
      </c>
      <c r="H26" s="257">
        <f>IFERROR(F26*'Muraba Veil Sale Summary'!$F$9,0)</f>
        <v>23147332.57429745</v>
      </c>
      <c r="I26" s="258">
        <f>IFERROR(F26*$Q$8*'Muraba Veil Sale Summary'!$G$9,0)</f>
        <v>10755971.475702511</v>
      </c>
      <c r="J26" s="259">
        <f t="shared" si="18"/>
        <v>33903304.04999996</v>
      </c>
      <c r="K26" s="80">
        <f>IFERROR(G26*'Muraba Veil Sale Summary'!$F$10,0)</f>
        <v>32890655.371286001</v>
      </c>
      <c r="L26" s="81">
        <f>IFERROR(G26*$Q$9*'Muraba Veil Sale Summary'!$G$10,0)</f>
        <v>20486745.997931201</v>
      </c>
      <c r="M26" s="79">
        <f t="shared" si="19"/>
        <v>53377401.369217202</v>
      </c>
      <c r="N26" s="36"/>
      <c r="O26" s="91"/>
      <c r="P26" s="82"/>
      <c r="Q26" s="83"/>
      <c r="R26" s="84"/>
      <c r="S26" s="85"/>
      <c r="T26" s="86"/>
      <c r="U26" s="87"/>
      <c r="V26" s="85"/>
      <c r="W26" s="86"/>
      <c r="X26" s="87"/>
      <c r="Y26" s="88"/>
      <c r="Z26" s="12"/>
    </row>
    <row r="27" spans="2:26" x14ac:dyDescent="0.35">
      <c r="B27" t="s">
        <v>135</v>
      </c>
      <c r="C27" t="str">
        <f t="shared" si="16"/>
        <v/>
      </c>
      <c r="D27" t="str">
        <f t="shared" si="17"/>
        <v/>
      </c>
      <c r="E27" s="36"/>
      <c r="F27" s="42" t="str">
        <f>IF(C27="","",F26+'Launches   XL   SX   DX'!$Q$2)</f>
        <v/>
      </c>
      <c r="G27" s="89" t="str">
        <f t="shared" ref="G27:G33" si="23">IF(D27="","",G26+$Q$3)</f>
        <v/>
      </c>
      <c r="H27" s="77">
        <f>IFERROR(F27*'Muraba Veil Sale Summary'!$F$9,0)</f>
        <v>0</v>
      </c>
      <c r="I27" s="78">
        <f>IFERROR(F27*$Q$8*'Muraba Veil Sale Summary'!$G$9,0)</f>
        <v>0</v>
      </c>
      <c r="J27" s="79">
        <f t="shared" si="18"/>
        <v>0</v>
      </c>
      <c r="K27" s="80">
        <f>IFERROR(G27*'Muraba Veil Sale Summary'!$F$10,0)</f>
        <v>0</v>
      </c>
      <c r="L27" s="81">
        <f>IFERROR(G27*$Q$9*'Muraba Veil Sale Summary'!$G$10,0)</f>
        <v>0</v>
      </c>
      <c r="M27" s="79">
        <f t="shared" ref="M27:M33" si="24">K27+L27</f>
        <v>0</v>
      </c>
      <c r="N27" s="36"/>
      <c r="O27" s="91"/>
      <c r="P27" s="82"/>
      <c r="Q27" s="83"/>
      <c r="R27" s="84"/>
      <c r="S27" s="85"/>
      <c r="T27" s="86"/>
      <c r="U27" s="87"/>
      <c r="V27" s="85"/>
      <c r="W27" s="86"/>
      <c r="X27" s="87"/>
      <c r="Y27" s="88"/>
      <c r="Z27" s="12"/>
    </row>
    <row r="28" spans="2:26" x14ac:dyDescent="0.35">
      <c r="B28" t="s">
        <v>135</v>
      </c>
      <c r="C28" t="str">
        <f t="shared" si="16"/>
        <v/>
      </c>
      <c r="D28" t="str">
        <f t="shared" si="17"/>
        <v/>
      </c>
      <c r="E28" s="36"/>
      <c r="F28" s="42" t="str">
        <f>IF(C28="","",F27+'Launches   XL   SX   DX'!$Q$2)</f>
        <v/>
      </c>
      <c r="G28" s="89" t="str">
        <f t="shared" si="23"/>
        <v/>
      </c>
      <c r="H28" s="77">
        <f>IFERROR(F28*'Muraba Veil Sale Summary'!$F$9,0)</f>
        <v>0</v>
      </c>
      <c r="I28" s="78">
        <f>IFERROR(F28*$Q$8*'Muraba Veil Sale Summary'!$G$9,0)</f>
        <v>0</v>
      </c>
      <c r="J28" s="79">
        <f t="shared" si="18"/>
        <v>0</v>
      </c>
      <c r="K28" s="80">
        <f>IFERROR(G28*'Muraba Veil Sale Summary'!$F$10,0)</f>
        <v>0</v>
      </c>
      <c r="L28" s="81">
        <f>IFERROR(G28*$Q$9*'Muraba Veil Sale Summary'!$G$10,0)</f>
        <v>0</v>
      </c>
      <c r="M28" s="79">
        <f t="shared" si="24"/>
        <v>0</v>
      </c>
      <c r="N28" s="36"/>
      <c r="O28" s="91"/>
      <c r="P28" s="82"/>
      <c r="Q28" s="83"/>
      <c r="R28" s="84"/>
      <c r="S28" s="85"/>
      <c r="T28" s="86"/>
      <c r="U28" s="87"/>
      <c r="V28" s="85"/>
      <c r="W28" s="86"/>
      <c r="X28" s="87"/>
      <c r="Y28" s="88"/>
      <c r="Z28" s="12"/>
    </row>
    <row r="29" spans="2:26" x14ac:dyDescent="0.35">
      <c r="B29" t="s">
        <v>135</v>
      </c>
      <c r="C29" t="str">
        <f t="shared" si="16"/>
        <v/>
      </c>
      <c r="D29" t="str">
        <f t="shared" si="17"/>
        <v/>
      </c>
      <c r="E29" s="36"/>
      <c r="F29" s="42" t="str">
        <f>IF(C29="","",F28+'Launches   XL   SX   DX'!$Q$2)</f>
        <v/>
      </c>
      <c r="G29" s="89" t="str">
        <f t="shared" si="23"/>
        <v/>
      </c>
      <c r="H29" s="77">
        <f>IFERROR(F29*'Muraba Veil Sale Summary'!$F$9,0)</f>
        <v>0</v>
      </c>
      <c r="I29" s="78">
        <f>IFERROR(F29*$Q$8*'Muraba Veil Sale Summary'!$G$9,0)</f>
        <v>0</v>
      </c>
      <c r="J29" s="79">
        <f t="shared" si="18"/>
        <v>0</v>
      </c>
      <c r="K29" s="80">
        <f>IFERROR(G29*'Muraba Veil Sale Summary'!$F$10,0)</f>
        <v>0</v>
      </c>
      <c r="L29" s="81">
        <f>IFERROR(G29*$Q$9*'Muraba Veil Sale Summary'!$G$10,0)</f>
        <v>0</v>
      </c>
      <c r="M29" s="79">
        <f t="shared" si="24"/>
        <v>0</v>
      </c>
      <c r="N29" s="36"/>
      <c r="O29" s="91"/>
      <c r="P29" s="82"/>
      <c r="Q29" s="83"/>
      <c r="R29" s="84"/>
      <c r="S29" s="85"/>
      <c r="T29" s="86"/>
      <c r="U29" s="87"/>
      <c r="V29" s="85"/>
      <c r="W29" s="86"/>
      <c r="X29" s="87"/>
      <c r="Y29" s="88"/>
      <c r="Z29" s="12"/>
    </row>
    <row r="30" spans="2:26" x14ac:dyDescent="0.35">
      <c r="B30" t="s">
        <v>135</v>
      </c>
      <c r="C30" t="str">
        <f t="shared" si="16"/>
        <v/>
      </c>
      <c r="D30" t="str">
        <f t="shared" si="17"/>
        <v/>
      </c>
      <c r="E30" s="36"/>
      <c r="F30" s="42" t="str">
        <f>IF(C30="","",F29+'Launches   XL   SX   DX'!$Q$2)</f>
        <v/>
      </c>
      <c r="G30" s="89" t="str">
        <f t="shared" si="23"/>
        <v/>
      </c>
      <c r="H30" s="77">
        <f>IFERROR(F30*'Muraba Veil Sale Summary'!$F$9,0)</f>
        <v>0</v>
      </c>
      <c r="I30" s="78">
        <f>IFERROR(F30*$Q$8*'Muraba Veil Sale Summary'!$G$9,0)</f>
        <v>0</v>
      </c>
      <c r="J30" s="79">
        <f t="shared" si="18"/>
        <v>0</v>
      </c>
      <c r="K30" s="80">
        <f>IFERROR(G30*'Muraba Veil Sale Summary'!$F$10,0)</f>
        <v>0</v>
      </c>
      <c r="L30" s="81">
        <f>IFERROR(G30*$Q$9*'Muraba Veil Sale Summary'!$G$10,0)</f>
        <v>0</v>
      </c>
      <c r="M30" s="79">
        <f t="shared" si="24"/>
        <v>0</v>
      </c>
      <c r="N30" s="36"/>
      <c r="O30" s="91"/>
      <c r="P30" s="82"/>
      <c r="Q30" s="83"/>
      <c r="R30" s="84"/>
      <c r="S30" s="85"/>
      <c r="T30" s="86"/>
      <c r="U30" s="87"/>
      <c r="V30" s="85"/>
      <c r="W30" s="86"/>
      <c r="X30" s="87"/>
      <c r="Y30" s="88"/>
      <c r="Z30" s="12"/>
    </row>
    <row r="31" spans="2:26" x14ac:dyDescent="0.35">
      <c r="B31" t="s">
        <v>135</v>
      </c>
      <c r="C31" t="str">
        <f t="shared" si="16"/>
        <v/>
      </c>
      <c r="D31" t="str">
        <f t="shared" si="17"/>
        <v/>
      </c>
      <c r="E31" s="36"/>
      <c r="F31" s="42" t="str">
        <f>IF(C31="","",F30+'Launches   XL   SX   DX'!$Q$2)</f>
        <v/>
      </c>
      <c r="G31" s="89" t="str">
        <f t="shared" si="23"/>
        <v/>
      </c>
      <c r="H31" s="77">
        <f>IFERROR(F31*'Muraba Veil Sale Summary'!$F$9,0)</f>
        <v>0</v>
      </c>
      <c r="I31" s="78">
        <f>IFERROR(F31*$Q$8*'Muraba Veil Sale Summary'!$G$9,0)</f>
        <v>0</v>
      </c>
      <c r="J31" s="79">
        <f t="shared" si="18"/>
        <v>0</v>
      </c>
      <c r="K31" s="80">
        <f>IFERROR(G31*'Muraba Veil Sale Summary'!$F$10,0)</f>
        <v>0</v>
      </c>
      <c r="L31" s="81">
        <f>IFERROR(G31*$Q$9*'Muraba Veil Sale Summary'!$G$10,0)</f>
        <v>0</v>
      </c>
      <c r="M31" s="79">
        <f t="shared" si="24"/>
        <v>0</v>
      </c>
      <c r="N31" s="36"/>
      <c r="O31" s="91"/>
      <c r="P31" s="82"/>
      <c r="Q31" s="83"/>
      <c r="R31" s="84"/>
      <c r="S31" s="85"/>
      <c r="T31" s="86"/>
      <c r="U31" s="87"/>
      <c r="V31" s="85"/>
      <c r="W31" s="86"/>
      <c r="X31" s="87"/>
      <c r="Y31" s="88"/>
      <c r="Z31" s="12"/>
    </row>
    <row r="32" spans="2:26" x14ac:dyDescent="0.35">
      <c r="B32" t="s">
        <v>135</v>
      </c>
      <c r="C32" t="str">
        <f t="shared" si="16"/>
        <v/>
      </c>
      <c r="D32" t="str">
        <f t="shared" si="17"/>
        <v/>
      </c>
      <c r="E32" s="36"/>
      <c r="F32" s="42" t="str">
        <f>IF(C32="","",F31+'Launches   XL   SX   DX'!$Q$2)</f>
        <v/>
      </c>
      <c r="G32" s="89" t="str">
        <f t="shared" si="23"/>
        <v/>
      </c>
      <c r="H32" s="77">
        <f>IFERROR(F32*'Muraba Veil Sale Summary'!$F$9,0)</f>
        <v>0</v>
      </c>
      <c r="I32" s="78">
        <f>IFERROR(F32*$Q$8*'Muraba Veil Sale Summary'!$G$9,0)</f>
        <v>0</v>
      </c>
      <c r="J32" s="79">
        <f t="shared" si="18"/>
        <v>0</v>
      </c>
      <c r="K32" s="80">
        <f>IFERROR(G32*'Muraba Veil Sale Summary'!$F$10,0)</f>
        <v>0</v>
      </c>
      <c r="L32" s="81">
        <f>IFERROR(G32*$Q$9*'Muraba Veil Sale Summary'!$G$10,0)</f>
        <v>0</v>
      </c>
      <c r="M32" s="79">
        <f t="shared" si="24"/>
        <v>0</v>
      </c>
      <c r="N32" s="45"/>
      <c r="O32" s="92"/>
      <c r="P32" s="82"/>
      <c r="Q32" s="83"/>
      <c r="R32" s="84"/>
      <c r="S32" s="85"/>
      <c r="T32" s="86"/>
      <c r="U32" s="87"/>
      <c r="V32" s="85"/>
      <c r="W32" s="86"/>
      <c r="X32" s="87"/>
      <c r="Y32" s="88"/>
      <c r="Z32" s="12"/>
    </row>
    <row r="33" spans="2:26" x14ac:dyDescent="0.35">
      <c r="B33" t="s">
        <v>135</v>
      </c>
      <c r="C33" t="str">
        <f>IF(E33="","",C32+100)</f>
        <v/>
      </c>
      <c r="D33" t="str">
        <f t="shared" si="17"/>
        <v/>
      </c>
      <c r="E33" s="36"/>
      <c r="F33" s="42" t="str">
        <f>IF(C33="","",F32+'Launches   XL   SX   DX'!$Q$2)</f>
        <v/>
      </c>
      <c r="G33" s="89" t="str">
        <f t="shared" si="23"/>
        <v/>
      </c>
      <c r="H33" s="77">
        <f>IFERROR(F33*'Muraba Veil Sale Summary'!$F$9,0)</f>
        <v>0</v>
      </c>
      <c r="I33" s="78">
        <f>IFERROR(F33*$Q$8*'Muraba Veil Sale Summary'!$G$9,0)</f>
        <v>0</v>
      </c>
      <c r="J33" s="79">
        <f t="shared" si="18"/>
        <v>0</v>
      </c>
      <c r="K33" s="80">
        <f>IFERROR(G33*'Muraba Veil Sale Summary'!$F$10,0)</f>
        <v>0</v>
      </c>
      <c r="L33" s="81">
        <f>IFERROR(G33*$Q$9*'Muraba Veil Sale Summary'!$G$10,0)</f>
        <v>0</v>
      </c>
      <c r="M33" s="79">
        <f t="shared" si="24"/>
        <v>0</v>
      </c>
      <c r="N33" s="45"/>
      <c r="O33" s="92"/>
      <c r="P33" s="82"/>
      <c r="Q33" s="83"/>
      <c r="R33" s="84"/>
      <c r="S33" s="85"/>
      <c r="T33" s="86"/>
      <c r="U33" s="87"/>
      <c r="V33" s="85"/>
      <c r="W33" s="86"/>
      <c r="X33" s="87"/>
      <c r="Y33" s="88"/>
      <c r="Z33" s="12"/>
    </row>
    <row r="34" spans="2:26" x14ac:dyDescent="0.35">
      <c r="B34" t="s">
        <v>136</v>
      </c>
      <c r="C34" t="str">
        <f>IF(E34="","",C33+100)</f>
        <v/>
      </c>
      <c r="D34" t="str">
        <f t="shared" si="17"/>
        <v/>
      </c>
      <c r="E34" s="36"/>
      <c r="F34" s="42" t="str">
        <f>IF(C34="","",F33+'Launches   XL   SX   DX'!$Q$2)</f>
        <v/>
      </c>
      <c r="G34" s="89" t="str">
        <f>IF(D34="","",G33+$Q$3)</f>
        <v/>
      </c>
      <c r="H34" s="77">
        <f>IFERROR(F34*'Muraba Veil Sale Summary'!$F$9,0)</f>
        <v>0</v>
      </c>
      <c r="I34" s="78">
        <f>IFERROR(F34*$Q$8*'Muraba Veil Sale Summary'!$G$9,0)</f>
        <v>0</v>
      </c>
      <c r="J34" s="79">
        <f t="shared" si="18"/>
        <v>0</v>
      </c>
      <c r="K34" s="80">
        <f>IFERROR(G34*'Muraba Veil Sale Summary'!$F$10,0)</f>
        <v>0</v>
      </c>
      <c r="L34" s="81">
        <f>IFERROR(G34*$Q$9*'Muraba Veil Sale Summary'!$G$10,0)</f>
        <v>0</v>
      </c>
      <c r="M34" s="79">
        <f t="shared" ref="M34:M37" si="25">K34+L34</f>
        <v>0</v>
      </c>
      <c r="N34" s="45"/>
      <c r="O34" s="92"/>
      <c r="P34" s="93"/>
      <c r="Q34" s="83"/>
      <c r="R34" s="84"/>
      <c r="S34" s="85"/>
      <c r="T34" s="86"/>
      <c r="U34" s="87"/>
      <c r="V34" s="85"/>
      <c r="W34" s="86"/>
      <c r="X34" s="87"/>
      <c r="Y34" s="88"/>
      <c r="Z34" s="12"/>
    </row>
    <row r="35" spans="2:26" x14ac:dyDescent="0.35">
      <c r="B35" t="s">
        <v>136</v>
      </c>
      <c r="C35" t="str">
        <f t="shared" ref="C35:C43" si="26">IF(E35="","",C34+100)</f>
        <v/>
      </c>
      <c r="D35" t="str">
        <f t="shared" si="17"/>
        <v/>
      </c>
      <c r="E35" s="36"/>
      <c r="F35" s="42" t="str">
        <f>IF(C35="","",F34+'Launches   XL   SX   DX'!$Q$2)</f>
        <v/>
      </c>
      <c r="G35" s="89" t="str">
        <f t="shared" ref="G35:G43" si="27">IF(D35="","",G34+$Q$3)</f>
        <v/>
      </c>
      <c r="H35" s="77">
        <f>IFERROR(F35*'Muraba Veil Sale Summary'!$F$9,0)</f>
        <v>0</v>
      </c>
      <c r="I35" s="78">
        <f>IFERROR(F35*$Q$8*'Muraba Veil Sale Summary'!$G$9,0)</f>
        <v>0</v>
      </c>
      <c r="J35" s="79">
        <f t="shared" si="18"/>
        <v>0</v>
      </c>
      <c r="K35" s="80">
        <f>IFERROR(G35*'Muraba Veil Sale Summary'!$F$10,0)</f>
        <v>0</v>
      </c>
      <c r="L35" s="81">
        <f>IFERROR(G35*$Q$9*'Muraba Veil Sale Summary'!$G$10,0)</f>
        <v>0</v>
      </c>
      <c r="M35" s="79">
        <f t="shared" si="25"/>
        <v>0</v>
      </c>
      <c r="N35" s="45"/>
      <c r="O35" s="92"/>
      <c r="P35" s="93"/>
      <c r="Q35" s="83"/>
      <c r="R35" s="84"/>
      <c r="S35" s="85"/>
      <c r="T35" s="86"/>
      <c r="U35" s="87"/>
      <c r="V35" s="85"/>
      <c r="W35" s="86"/>
      <c r="X35" s="87"/>
      <c r="Y35" s="88"/>
      <c r="Z35" s="12"/>
    </row>
    <row r="36" spans="2:26" x14ac:dyDescent="0.35">
      <c r="B36" t="s">
        <v>136</v>
      </c>
      <c r="C36" t="str">
        <f t="shared" si="26"/>
        <v/>
      </c>
      <c r="D36" t="str">
        <f t="shared" si="17"/>
        <v/>
      </c>
      <c r="E36" s="36"/>
      <c r="F36" s="42" t="str">
        <f>IF(C36="","",F35+'Launches   XL   SX   DX'!$Q$2)</f>
        <v/>
      </c>
      <c r="G36" s="89" t="str">
        <f t="shared" si="27"/>
        <v/>
      </c>
      <c r="H36" s="77">
        <f>IFERROR(F36*'Muraba Veil Sale Summary'!$F$9,0)</f>
        <v>0</v>
      </c>
      <c r="I36" s="78">
        <f>IFERROR(F36*$Q$8*'Muraba Veil Sale Summary'!$G$9,0)</f>
        <v>0</v>
      </c>
      <c r="J36" s="79">
        <f t="shared" si="18"/>
        <v>0</v>
      </c>
      <c r="K36" s="80">
        <f>IFERROR(G36*'Muraba Veil Sale Summary'!$F$10,0)</f>
        <v>0</v>
      </c>
      <c r="L36" s="81">
        <f>IFERROR(G36*$Q$9*'Muraba Veil Sale Summary'!$G$10,0)</f>
        <v>0</v>
      </c>
      <c r="M36" s="79">
        <f t="shared" si="25"/>
        <v>0</v>
      </c>
      <c r="N36" s="45"/>
      <c r="O36" s="92"/>
      <c r="P36" s="93"/>
      <c r="Q36" s="83"/>
      <c r="R36" s="84"/>
      <c r="S36" s="85"/>
      <c r="T36" s="86"/>
      <c r="U36" s="87"/>
      <c r="V36" s="85"/>
      <c r="W36" s="86"/>
      <c r="X36" s="87"/>
      <c r="Y36" s="88"/>
      <c r="Z36" s="12"/>
    </row>
    <row r="37" spans="2:26" x14ac:dyDescent="0.35">
      <c r="B37" t="s">
        <v>136</v>
      </c>
      <c r="C37" t="str">
        <f t="shared" si="26"/>
        <v/>
      </c>
      <c r="D37" t="str">
        <f t="shared" si="17"/>
        <v/>
      </c>
      <c r="E37" s="36"/>
      <c r="F37" s="42" t="str">
        <f>IF(C37="","",F36+'Launches   XL   SX   DX'!$Q$2)</f>
        <v/>
      </c>
      <c r="G37" s="89" t="str">
        <f t="shared" si="27"/>
        <v/>
      </c>
      <c r="H37" s="77">
        <f>IFERROR(F37*'Muraba Veil Sale Summary'!$F$9,0)</f>
        <v>0</v>
      </c>
      <c r="I37" s="78">
        <f>IFERROR(F37*$Q$8*'Muraba Veil Sale Summary'!$G$9,0)</f>
        <v>0</v>
      </c>
      <c r="J37" s="79">
        <f t="shared" si="18"/>
        <v>0</v>
      </c>
      <c r="K37" s="80">
        <f>IFERROR(G37*'Muraba Veil Sale Summary'!$F$10,0)</f>
        <v>0</v>
      </c>
      <c r="L37" s="81">
        <f>IFERROR(G37*$Q$9*'Muraba Veil Sale Summary'!$G$10,0)</f>
        <v>0</v>
      </c>
      <c r="M37" s="79">
        <f t="shared" si="25"/>
        <v>0</v>
      </c>
      <c r="N37" s="45"/>
      <c r="O37" s="92"/>
      <c r="P37" s="93"/>
      <c r="Q37" s="83"/>
      <c r="R37" s="84"/>
      <c r="S37" s="85"/>
      <c r="T37" s="86"/>
      <c r="U37" s="87"/>
      <c r="V37" s="85"/>
      <c r="W37" s="86"/>
      <c r="X37" s="87"/>
      <c r="Y37" s="88"/>
      <c r="Z37" s="12"/>
    </row>
    <row r="38" spans="2:26" x14ac:dyDescent="0.35">
      <c r="B38" t="s">
        <v>136</v>
      </c>
      <c r="C38" t="str">
        <f t="shared" si="26"/>
        <v/>
      </c>
      <c r="D38" t="str">
        <f t="shared" si="17"/>
        <v/>
      </c>
      <c r="E38" s="36"/>
      <c r="F38" s="42" t="str">
        <f>IF(C38="","",F37+'Launches   XL   SX   DX'!$Q$2)</f>
        <v/>
      </c>
      <c r="G38" s="89" t="str">
        <f t="shared" si="27"/>
        <v/>
      </c>
      <c r="H38" s="77">
        <f>IFERROR(F38*'Muraba Veil Sale Summary'!$F$9,0)</f>
        <v>0</v>
      </c>
      <c r="I38" s="78">
        <f>IFERROR(F38*$Q$8*'Muraba Veil Sale Summary'!$G$9,0)</f>
        <v>0</v>
      </c>
      <c r="J38" s="79">
        <f t="shared" si="18"/>
        <v>0</v>
      </c>
      <c r="K38" s="80">
        <f>IFERROR(G38*'Muraba Veil Sale Summary'!$F$10,0)</f>
        <v>0</v>
      </c>
      <c r="L38" s="81">
        <f>IFERROR(G38*$Q$9*'Muraba Veil Sale Summary'!$G$10,0)</f>
        <v>0</v>
      </c>
      <c r="M38" s="79">
        <f t="shared" ref="M38:M43" si="28">K38+L38</f>
        <v>0</v>
      </c>
      <c r="N38" s="45"/>
      <c r="O38" s="92"/>
      <c r="P38" s="93"/>
      <c r="Q38" s="83"/>
      <c r="R38" s="84"/>
      <c r="S38" s="85"/>
      <c r="T38" s="86"/>
      <c r="U38" s="87"/>
      <c r="V38" s="85"/>
      <c r="W38" s="86"/>
      <c r="X38" s="87"/>
      <c r="Y38" s="88"/>
      <c r="Z38" s="12"/>
    </row>
    <row r="39" spans="2:26" x14ac:dyDescent="0.35">
      <c r="B39" t="s">
        <v>136</v>
      </c>
      <c r="C39" t="str">
        <f t="shared" si="26"/>
        <v/>
      </c>
      <c r="D39" t="str">
        <f t="shared" si="17"/>
        <v/>
      </c>
      <c r="E39" s="36"/>
      <c r="F39" s="42" t="str">
        <f>IF(C39="","",F38+'Launches   XL   SX   DX'!$Q$2)</f>
        <v/>
      </c>
      <c r="G39" s="89" t="str">
        <f t="shared" si="27"/>
        <v/>
      </c>
      <c r="H39" s="77">
        <f>IFERROR(F39*'Muraba Veil Sale Summary'!$F$9,0)</f>
        <v>0</v>
      </c>
      <c r="I39" s="78">
        <f>IFERROR(F39*$Q$8*'Muraba Veil Sale Summary'!$G$9,0)</f>
        <v>0</v>
      </c>
      <c r="J39" s="79">
        <f t="shared" si="18"/>
        <v>0</v>
      </c>
      <c r="K39" s="80">
        <f>IFERROR(G39*'Muraba Veil Sale Summary'!$F$10,0)</f>
        <v>0</v>
      </c>
      <c r="L39" s="81">
        <f>IFERROR(G39*$Q$9*'Muraba Veil Sale Summary'!$G$10,0)</f>
        <v>0</v>
      </c>
      <c r="M39" s="79">
        <f t="shared" si="28"/>
        <v>0</v>
      </c>
      <c r="N39" s="45"/>
      <c r="O39" s="92"/>
      <c r="P39" s="93"/>
      <c r="Q39" s="83"/>
      <c r="R39" s="84"/>
      <c r="S39" s="85"/>
      <c r="T39" s="86"/>
      <c r="U39" s="87"/>
      <c r="V39" s="85"/>
      <c r="W39" s="86"/>
      <c r="X39" s="87"/>
      <c r="Y39" s="88"/>
      <c r="Z39" s="12"/>
    </row>
    <row r="40" spans="2:26" x14ac:dyDescent="0.35">
      <c r="B40" t="s">
        <v>136</v>
      </c>
      <c r="C40" t="str">
        <f t="shared" si="26"/>
        <v/>
      </c>
      <c r="D40" t="str">
        <f t="shared" si="17"/>
        <v/>
      </c>
      <c r="E40" s="36"/>
      <c r="F40" s="42" t="str">
        <f>IF(C40="","",F39+'Launches   XL   SX   DX'!$Q$2)</f>
        <v/>
      </c>
      <c r="G40" s="89" t="str">
        <f t="shared" si="27"/>
        <v/>
      </c>
      <c r="H40" s="77">
        <f>IFERROR(F40*'Muraba Veil Sale Summary'!$F$9,0)</f>
        <v>0</v>
      </c>
      <c r="I40" s="78">
        <f>IFERROR(F40*$Q$8*'Muraba Veil Sale Summary'!$G$9,0)</f>
        <v>0</v>
      </c>
      <c r="J40" s="79">
        <f t="shared" si="18"/>
        <v>0</v>
      </c>
      <c r="K40" s="80">
        <f>IFERROR(G40*'Muraba Veil Sale Summary'!$F$10,0)</f>
        <v>0</v>
      </c>
      <c r="L40" s="81">
        <f>IFERROR(G40*$Q$9*'Muraba Veil Sale Summary'!$G$10,0)</f>
        <v>0</v>
      </c>
      <c r="M40" s="79">
        <f t="shared" si="28"/>
        <v>0</v>
      </c>
      <c r="N40" s="45"/>
      <c r="O40" s="92"/>
      <c r="P40" s="93"/>
      <c r="Q40" s="83"/>
      <c r="R40" s="84"/>
      <c r="S40" s="85"/>
      <c r="T40" s="86"/>
      <c r="U40" s="87"/>
      <c r="V40" s="85"/>
      <c r="W40" s="86"/>
      <c r="X40" s="87"/>
      <c r="Y40" s="88"/>
      <c r="Z40" s="12"/>
    </row>
    <row r="41" spans="2:26" x14ac:dyDescent="0.35">
      <c r="B41" t="s">
        <v>136</v>
      </c>
      <c r="C41" t="str">
        <f t="shared" si="26"/>
        <v/>
      </c>
      <c r="D41" t="str">
        <f t="shared" si="17"/>
        <v/>
      </c>
      <c r="E41" s="36"/>
      <c r="F41" s="42" t="str">
        <f>IF(C41="","",F40+'Launches   XL   SX   DX'!$Q$2)</f>
        <v/>
      </c>
      <c r="G41" s="89" t="str">
        <f t="shared" si="27"/>
        <v/>
      </c>
      <c r="H41" s="77">
        <f>IFERROR(F41*'Muraba Veil Sale Summary'!$F$9,0)</f>
        <v>0</v>
      </c>
      <c r="I41" s="78">
        <f>IFERROR(F41*$Q$8*'Muraba Veil Sale Summary'!$G$9,0)</f>
        <v>0</v>
      </c>
      <c r="J41" s="79">
        <f t="shared" si="18"/>
        <v>0</v>
      </c>
      <c r="K41" s="80">
        <f>IFERROR(G41*'Muraba Veil Sale Summary'!$F$10,0)</f>
        <v>0</v>
      </c>
      <c r="L41" s="81">
        <f>IFERROR(G41*$Q$9*'Muraba Veil Sale Summary'!$G$10,0)</f>
        <v>0</v>
      </c>
      <c r="M41" s="79">
        <f t="shared" si="28"/>
        <v>0</v>
      </c>
      <c r="N41" s="45"/>
      <c r="O41" s="92"/>
      <c r="P41" s="93"/>
      <c r="Q41" s="83"/>
      <c r="R41" s="84"/>
      <c r="S41" s="85"/>
      <c r="T41" s="86"/>
      <c r="U41" s="87"/>
      <c r="V41" s="85"/>
      <c r="W41" s="86"/>
      <c r="X41" s="87"/>
      <c r="Y41" s="88"/>
      <c r="Z41" s="12"/>
    </row>
    <row r="42" spans="2:26" x14ac:dyDescent="0.35">
      <c r="B42" t="s">
        <v>136</v>
      </c>
      <c r="C42" t="str">
        <f t="shared" si="26"/>
        <v/>
      </c>
      <c r="D42" t="str">
        <f t="shared" si="17"/>
        <v/>
      </c>
      <c r="E42" s="36"/>
      <c r="F42" s="42" t="str">
        <f>IF(C42="","",F41+'Launches   XL   SX   DX'!$Q$2)</f>
        <v/>
      </c>
      <c r="G42" s="89" t="str">
        <f t="shared" si="27"/>
        <v/>
      </c>
      <c r="H42" s="77">
        <f>IFERROR(F42*'Muraba Veil Sale Summary'!$F$9,0)</f>
        <v>0</v>
      </c>
      <c r="I42" s="78">
        <f>IFERROR(F42*$Q$8*'Muraba Veil Sale Summary'!$G$9,0)</f>
        <v>0</v>
      </c>
      <c r="J42" s="79">
        <f t="shared" si="18"/>
        <v>0</v>
      </c>
      <c r="K42" s="80">
        <f>IFERROR(G42*'Muraba Veil Sale Summary'!$F$10,0)</f>
        <v>0</v>
      </c>
      <c r="L42" s="81">
        <f>IFERROR(G42*$Q$9*'Muraba Veil Sale Summary'!$G$10,0)</f>
        <v>0</v>
      </c>
      <c r="M42" s="79">
        <f t="shared" si="28"/>
        <v>0</v>
      </c>
      <c r="N42" s="45"/>
      <c r="O42" s="92"/>
      <c r="P42" s="93"/>
      <c r="Q42" s="83"/>
      <c r="R42" s="84"/>
      <c r="S42" s="85"/>
      <c r="T42" s="86"/>
      <c r="U42" s="87"/>
      <c r="V42" s="85"/>
      <c r="W42" s="86"/>
      <c r="X42" s="87"/>
      <c r="Y42" s="88"/>
      <c r="Z42" s="12"/>
    </row>
    <row r="43" spans="2:26" x14ac:dyDescent="0.35">
      <c r="B43" t="s">
        <v>136</v>
      </c>
      <c r="C43" t="str">
        <f t="shared" si="26"/>
        <v/>
      </c>
      <c r="D43" t="str">
        <f t="shared" si="17"/>
        <v/>
      </c>
      <c r="E43" s="36"/>
      <c r="F43" s="42" t="str">
        <f>IF(C43="","",F42+'Launches   XL   SX   DX'!$Q$2)</f>
        <v/>
      </c>
      <c r="G43" s="89" t="str">
        <f t="shared" si="27"/>
        <v/>
      </c>
      <c r="H43" s="77">
        <f>IFERROR(F43*'Muraba Veil Sale Summary'!$F$9,0)</f>
        <v>0</v>
      </c>
      <c r="I43" s="78">
        <f>IFERROR(F43*$Q$8*'Muraba Veil Sale Summary'!$G$9,0)</f>
        <v>0</v>
      </c>
      <c r="J43" s="79">
        <f t="shared" ref="J43" si="29">H43+I43</f>
        <v>0</v>
      </c>
      <c r="K43" s="80">
        <f>IFERROR(G43*'Muraba Veil Sale Summary'!$F$10,0)</f>
        <v>0</v>
      </c>
      <c r="L43" s="81">
        <f>IFERROR(G43*$Q$9*'Muraba Veil Sale Summary'!$G$10,0)</f>
        <v>0</v>
      </c>
      <c r="M43" s="79">
        <f t="shared" si="28"/>
        <v>0</v>
      </c>
      <c r="N43" s="45"/>
      <c r="O43" s="92"/>
      <c r="P43" s="93"/>
      <c r="Q43" s="83"/>
      <c r="R43" s="84"/>
      <c r="S43" s="85"/>
      <c r="T43" s="86"/>
      <c r="U43" s="87"/>
      <c r="V43" s="85"/>
      <c r="W43" s="86"/>
      <c r="X43" s="87"/>
      <c r="Y43" s="88"/>
      <c r="Z43" s="12"/>
    </row>
    <row r="44" spans="2:26" x14ac:dyDescent="0.35">
      <c r="C44">
        <f>MAX(C20:C35)+100</f>
        <v>6901</v>
      </c>
      <c r="D44">
        <f t="shared" si="17"/>
        <v>6902</v>
      </c>
      <c r="E44" s="36">
        <v>60</v>
      </c>
      <c r="F44" s="42">
        <v>13159.133541985328</v>
      </c>
      <c r="G44" s="89"/>
      <c r="H44" s="41"/>
      <c r="I44" s="42"/>
      <c r="J44" s="39"/>
      <c r="K44" s="41"/>
      <c r="L44" s="42"/>
      <c r="M44" s="95"/>
      <c r="N44" s="96">
        <f>F44*'[1]Muraba Veil Sale Summary'!$F$11</f>
        <v>98363074.908100441</v>
      </c>
      <c r="O44" s="97">
        <f>F44*$Q$11*'[1]Muraba Veil Sale Summary'!$G$11</f>
        <v>67209951.966899455</v>
      </c>
      <c r="P44" s="46">
        <f>O44+N44</f>
        <v>165573026.87499988</v>
      </c>
      <c r="Q44" s="86"/>
      <c r="R44" s="87"/>
      <c r="S44" s="98"/>
      <c r="T44" s="83"/>
      <c r="U44" s="84"/>
      <c r="V44" s="85"/>
      <c r="W44" s="86"/>
      <c r="X44" s="87"/>
      <c r="Y44" s="88"/>
      <c r="Z44" s="12"/>
    </row>
    <row r="45" spans="2:26" x14ac:dyDescent="0.35">
      <c r="E45" s="36"/>
      <c r="F45" s="42"/>
      <c r="G45" s="89"/>
      <c r="H45" s="41"/>
      <c r="I45" s="42"/>
      <c r="J45" s="39"/>
      <c r="K45" s="41"/>
      <c r="L45" s="42"/>
      <c r="M45" s="95"/>
      <c r="N45" s="96">
        <f>F45*'[1]Muraba Veil Sale Summary'!$F$11</f>
        <v>0</v>
      </c>
      <c r="O45" s="97">
        <f>F45*$Q$11*'[1]Muraba Veil Sale Summary'!$G$11</f>
        <v>0</v>
      </c>
      <c r="P45" s="46">
        <f t="shared" ref="P45" si="30">O45+N45</f>
        <v>0</v>
      </c>
      <c r="Q45" s="86"/>
      <c r="R45" s="87"/>
      <c r="S45" s="98"/>
      <c r="T45" s="83"/>
      <c r="U45" s="84"/>
      <c r="V45" s="98"/>
      <c r="W45" s="83"/>
      <c r="X45" s="84"/>
      <c r="Y45" s="99"/>
      <c r="Z45" s="12"/>
    </row>
    <row r="46" spans="2:26" x14ac:dyDescent="0.35">
      <c r="C46">
        <f>C44+100</f>
        <v>7001</v>
      </c>
      <c r="E46" s="36">
        <v>63</v>
      </c>
      <c r="F46" s="42">
        <v>10998.525074669933</v>
      </c>
      <c r="G46" s="89">
        <v>11416.448972623079</v>
      </c>
      <c r="H46" s="41"/>
      <c r="I46" s="87"/>
      <c r="J46" s="100"/>
      <c r="K46" s="41"/>
      <c r="L46" s="87"/>
      <c r="M46" s="101"/>
      <c r="N46" s="102"/>
      <c r="O46" s="103"/>
      <c r="P46" s="82"/>
      <c r="Q46" s="86">
        <f>F46*'[1]Muraba Veil Sale Summary'!$F$10</f>
        <v>52061927.99857159</v>
      </c>
      <c r="R46" s="104">
        <f>F46*'[1]Muraba Veil Sale Summary'!$G$10*'Launches   XL   SX   DX'!$Q$10</f>
        <v>27503700.001428399</v>
      </c>
      <c r="S46" s="85">
        <f>R46+Q46</f>
        <v>79565627.999999985</v>
      </c>
      <c r="T46" s="86">
        <f>G46*'[1]Muraba Veil Sale Summary'!$F$12</f>
        <v>85459585.188987479</v>
      </c>
      <c r="U46" s="87">
        <f>G46*'[1]Muraba Veil Sale Summary'!$G$12*$Q$10</f>
        <v>62162926.727972507</v>
      </c>
      <c r="V46" s="85">
        <f>U46+T46</f>
        <v>147622511.91696</v>
      </c>
      <c r="W46" s="86"/>
      <c r="X46" s="87"/>
      <c r="Y46" s="88"/>
      <c r="Z46" s="12"/>
    </row>
    <row r="47" spans="2:26" x14ac:dyDescent="0.35">
      <c r="E47" s="36">
        <f>E46+1</f>
        <v>64</v>
      </c>
      <c r="F47" s="42"/>
      <c r="G47" s="44"/>
      <c r="H47" s="41"/>
      <c r="I47" s="87"/>
      <c r="J47" s="100"/>
      <c r="K47" s="41"/>
      <c r="L47" s="87"/>
      <c r="M47" s="101"/>
      <c r="N47" s="102"/>
      <c r="O47" s="103"/>
      <c r="P47" s="82"/>
      <c r="Q47" s="86"/>
      <c r="R47" s="104"/>
      <c r="S47" s="85"/>
      <c r="T47" s="86"/>
      <c r="U47" s="87"/>
      <c r="V47" s="85"/>
      <c r="W47" s="86"/>
      <c r="X47" s="87"/>
      <c r="Y47" s="88"/>
      <c r="Z47" s="12"/>
    </row>
    <row r="48" spans="2:26" x14ac:dyDescent="0.35">
      <c r="E48" s="36">
        <f t="shared" ref="E48:E49" si="31">E47+1</f>
        <v>65</v>
      </c>
      <c r="F48" s="42"/>
      <c r="G48" s="44"/>
      <c r="H48" s="41"/>
      <c r="I48" s="87"/>
      <c r="J48" s="100"/>
      <c r="K48" s="41"/>
      <c r="L48" s="87"/>
      <c r="M48" s="101"/>
      <c r="N48" s="102"/>
      <c r="O48" s="103"/>
      <c r="P48" s="82"/>
      <c r="Q48" s="86">
        <f>F48*'[1]Muraba Veil Sale Summary'!$F$10</f>
        <v>0</v>
      </c>
      <c r="R48" s="104">
        <f>F48*'[1]Muraba Veil Sale Summary'!$G$10*'Launches   XL   SX   DX'!$Q$10</f>
        <v>0</v>
      </c>
      <c r="S48" s="85">
        <f t="shared" ref="S48" si="32">R48+Q48</f>
        <v>0</v>
      </c>
      <c r="T48" s="86">
        <f>G48*'[1]Muraba Veil Sale Summary'!$F$12</f>
        <v>0</v>
      </c>
      <c r="U48" s="87">
        <f>G48*'[1]Muraba Veil Sale Summary'!$G$12*$Q$10</f>
        <v>0</v>
      </c>
      <c r="V48" s="85">
        <f t="shared" ref="V48" si="33">U48+T48</f>
        <v>0</v>
      </c>
      <c r="W48" s="86"/>
      <c r="X48" s="87"/>
      <c r="Y48" s="88"/>
      <c r="Z48" s="12"/>
    </row>
    <row r="49" spans="2:26" x14ac:dyDescent="0.35">
      <c r="E49" s="36">
        <f t="shared" si="31"/>
        <v>66</v>
      </c>
      <c r="F49" s="42"/>
      <c r="G49" s="44"/>
      <c r="H49" s="41"/>
      <c r="I49" s="87"/>
      <c r="J49" s="100"/>
      <c r="K49" s="41"/>
      <c r="L49" s="87"/>
      <c r="M49" s="101"/>
      <c r="N49" s="102"/>
      <c r="O49" s="103"/>
      <c r="P49" s="82"/>
      <c r="Q49" s="86"/>
      <c r="R49" s="104"/>
      <c r="S49" s="85"/>
      <c r="T49" s="86"/>
      <c r="U49" s="87"/>
      <c r="V49" s="85"/>
      <c r="W49" s="86"/>
      <c r="X49" s="87"/>
      <c r="Y49" s="88"/>
      <c r="Z49" s="12"/>
    </row>
    <row r="50" spans="2:26" x14ac:dyDescent="0.35">
      <c r="E50" s="36"/>
      <c r="F50" s="42"/>
      <c r="G50" s="44"/>
      <c r="H50" s="41"/>
      <c r="I50" s="87"/>
      <c r="J50" s="100"/>
      <c r="K50" s="41"/>
      <c r="L50" s="87"/>
      <c r="M50" s="101"/>
      <c r="N50" s="102"/>
      <c r="O50" s="103"/>
      <c r="P50" s="82"/>
      <c r="Q50" s="83"/>
      <c r="R50" s="84"/>
      <c r="S50" s="105"/>
      <c r="T50" s="106"/>
      <c r="U50" s="107"/>
      <c r="V50" s="85"/>
      <c r="W50" s="86"/>
      <c r="X50" s="87"/>
      <c r="Y50" s="88"/>
      <c r="Z50" s="12"/>
    </row>
    <row r="51" spans="2:26" ht="15" thickBot="1" x14ac:dyDescent="0.4">
      <c r="C51" s="63" t="s">
        <v>306</v>
      </c>
      <c r="E51" s="108" t="s">
        <v>98</v>
      </c>
      <c r="F51" s="53">
        <f>'[2]Muraba Veil Sale Summary'!$C$13</f>
        <v>16194.636089448089</v>
      </c>
      <c r="G51" s="54"/>
      <c r="H51" s="59"/>
      <c r="I51" s="109"/>
      <c r="J51" s="57"/>
      <c r="K51" s="59"/>
      <c r="L51" s="109"/>
      <c r="M51" s="110"/>
      <c r="N51" s="111"/>
      <c r="O51" s="112"/>
      <c r="P51" s="113"/>
      <c r="Q51" s="114"/>
      <c r="R51" s="115"/>
      <c r="S51" s="116"/>
      <c r="T51" s="114"/>
      <c r="U51" s="115"/>
      <c r="V51" s="116"/>
      <c r="W51" s="114"/>
      <c r="X51" s="115"/>
      <c r="Y51" s="117">
        <v>431857988.04556805</v>
      </c>
      <c r="Z51" s="12"/>
    </row>
    <row r="52" spans="2:26" x14ac:dyDescent="0.35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S52" s="12"/>
      <c r="T52" s="12"/>
      <c r="U52" s="12"/>
    </row>
    <row r="53" spans="2:26" x14ac:dyDescent="0.35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S53" s="12"/>
      <c r="T53" s="12"/>
      <c r="U53" s="12"/>
      <c r="Y53" s="12"/>
    </row>
    <row r="54" spans="2:26" x14ac:dyDescent="0.35">
      <c r="B54" s="12"/>
      <c r="C54" s="12"/>
      <c r="D54" s="12"/>
      <c r="J54" s="12"/>
      <c r="K54" s="12"/>
      <c r="L54" s="12"/>
      <c r="M54" s="12"/>
      <c r="N54" s="12"/>
      <c r="O54" s="12"/>
      <c r="P54" s="2"/>
      <c r="Q54" s="12"/>
      <c r="R54" s="12"/>
      <c r="S54" s="12"/>
      <c r="T54" s="12"/>
      <c r="U54" s="12"/>
      <c r="V54" s="12"/>
      <c r="W54" s="12"/>
      <c r="X54" s="12"/>
      <c r="Y54" s="12"/>
    </row>
    <row r="55" spans="2:26" x14ac:dyDescent="0.3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S55" s="12"/>
      <c r="T55" s="12"/>
      <c r="U55" s="12"/>
      <c r="Y55" s="12"/>
    </row>
    <row r="56" spans="2:26" x14ac:dyDescent="0.3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S56" s="12"/>
      <c r="T56" s="12"/>
      <c r="U56" s="12"/>
      <c r="Y56" s="12"/>
    </row>
    <row r="57" spans="2:26" x14ac:dyDescent="0.3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2:26" x14ac:dyDescent="0.35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S58" s="12"/>
      <c r="T58" s="12"/>
      <c r="U58" s="12"/>
      <c r="Y58" s="12"/>
    </row>
    <row r="59" spans="2:26" x14ac:dyDescent="0.35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S59" s="12"/>
      <c r="T59" s="12"/>
      <c r="U59" s="12"/>
      <c r="Y59" s="12"/>
    </row>
    <row r="60" spans="2:26" x14ac:dyDescent="0.35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S60" s="12"/>
      <c r="T60" s="12"/>
      <c r="U60" s="12"/>
      <c r="Y60" s="12"/>
    </row>
    <row r="61" spans="2:26" x14ac:dyDescent="0.35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S61" s="12"/>
      <c r="T61" s="12"/>
      <c r="U61" s="12"/>
      <c r="Y61" s="12"/>
    </row>
    <row r="62" spans="2:26" x14ac:dyDescent="0.35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S62" s="12"/>
      <c r="T62" s="12"/>
      <c r="U62" s="12"/>
      <c r="Y62" s="12"/>
    </row>
    <row r="63" spans="2:26" x14ac:dyDescent="0.35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S63" s="12"/>
      <c r="T63" s="12"/>
      <c r="U63" s="12"/>
      <c r="Y63" s="12"/>
    </row>
    <row r="64" spans="2:26" x14ac:dyDescent="0.35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S64" s="12"/>
      <c r="T64" s="12"/>
      <c r="U64" s="12"/>
      <c r="Y64" s="12"/>
    </row>
    <row r="65" spans="2:24" x14ac:dyDescent="0.35">
      <c r="F65" s="9"/>
    </row>
    <row r="66" spans="2:24" x14ac:dyDescent="0.35">
      <c r="F66" s="12"/>
    </row>
    <row r="71" spans="2:24" x14ac:dyDescent="0.35">
      <c r="B71" s="61"/>
      <c r="C71" s="61"/>
      <c r="D71" s="6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S71" s="12"/>
      <c r="T71" s="12"/>
      <c r="U71" s="12"/>
      <c r="V71" s="12"/>
      <c r="W71" s="12"/>
      <c r="X71" s="12"/>
    </row>
    <row r="72" spans="2:24" x14ac:dyDescent="0.35">
      <c r="B72" s="61"/>
      <c r="C72" s="61"/>
      <c r="D72" s="61"/>
      <c r="F72" s="12"/>
      <c r="G72" s="12"/>
      <c r="H72" s="12"/>
      <c r="I72" s="12"/>
      <c r="J72" s="12"/>
      <c r="K72" s="12"/>
      <c r="L72" s="12"/>
      <c r="M72" s="12"/>
      <c r="N72" s="12"/>
      <c r="O72" s="12"/>
      <c r="S72" s="12"/>
      <c r="T72" s="12"/>
      <c r="U72" s="12"/>
      <c r="V72" s="12"/>
      <c r="W72" s="12"/>
      <c r="X72" s="12"/>
    </row>
    <row r="73" spans="2:24" x14ac:dyDescent="0.35">
      <c r="F73" s="12"/>
      <c r="G73" s="12"/>
      <c r="H73" s="12"/>
      <c r="I73" s="12"/>
      <c r="J73" s="12"/>
      <c r="K73" s="12"/>
      <c r="L73" s="12"/>
      <c r="M73" s="12"/>
      <c r="N73" s="12"/>
      <c r="O73" s="12"/>
      <c r="S73" s="12"/>
      <c r="T73" s="12"/>
      <c r="U73" s="12"/>
      <c r="V73" s="12"/>
      <c r="W73" s="12"/>
      <c r="X73" s="12"/>
    </row>
    <row r="74" spans="2:24" x14ac:dyDescent="0.35">
      <c r="F74" s="12"/>
      <c r="G74" s="12"/>
      <c r="H74" s="12"/>
      <c r="I74" s="12"/>
      <c r="J74" s="12"/>
      <c r="K74" s="12"/>
      <c r="L74" s="12"/>
      <c r="M74" s="12"/>
      <c r="N74" s="12"/>
      <c r="O74" s="12"/>
      <c r="S74" s="12"/>
      <c r="T74" s="12"/>
      <c r="U74" s="12"/>
      <c r="V74" s="12"/>
      <c r="W74" s="12"/>
      <c r="X74" s="12"/>
    </row>
    <row r="75" spans="2:24" x14ac:dyDescent="0.35">
      <c r="F75" s="12"/>
      <c r="G75" s="12"/>
      <c r="H75" s="12"/>
      <c r="I75" s="12"/>
      <c r="J75" s="12"/>
      <c r="K75" s="12"/>
      <c r="L75" s="12"/>
      <c r="M75" s="12"/>
      <c r="N75" s="12"/>
      <c r="O75" s="12"/>
      <c r="S75" s="12"/>
      <c r="T75" s="12"/>
      <c r="U75" s="12"/>
      <c r="V75" s="12"/>
      <c r="W75" s="12"/>
      <c r="X75" s="12"/>
    </row>
    <row r="76" spans="2:24" x14ac:dyDescent="0.35">
      <c r="F76" s="12"/>
      <c r="G76" s="12"/>
      <c r="H76" s="12"/>
      <c r="I76" s="12"/>
      <c r="J76" s="12"/>
      <c r="K76" s="12"/>
      <c r="L76" s="12"/>
      <c r="M76" s="12"/>
      <c r="N76" s="12"/>
      <c r="O76" s="12"/>
      <c r="S76" s="12"/>
      <c r="T76" s="12"/>
      <c r="U76" s="12"/>
      <c r="V76" s="12"/>
      <c r="W76" s="12"/>
      <c r="X76" s="12"/>
    </row>
    <row r="77" spans="2:24" x14ac:dyDescent="0.35">
      <c r="V77" s="12"/>
      <c r="W77" s="12"/>
      <c r="X77" s="12"/>
    </row>
  </sheetData>
  <mergeCells count="14">
    <mergeCell ref="E2:F2"/>
    <mergeCell ref="G2:H2"/>
    <mergeCell ref="I2:J2"/>
    <mergeCell ref="E10:F10"/>
    <mergeCell ref="G10:H10"/>
    <mergeCell ref="I10:J10"/>
    <mergeCell ref="E17:Y17"/>
    <mergeCell ref="F18:G18"/>
    <mergeCell ref="H18:J18"/>
    <mergeCell ref="K18:M18"/>
    <mergeCell ref="N18:P18"/>
    <mergeCell ref="Q18:S18"/>
    <mergeCell ref="T18:V18"/>
    <mergeCell ref="W18:Y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2914-8609-489E-9018-06BB24BF5124}">
  <sheetPr>
    <pageSetUpPr fitToPage="1"/>
  </sheetPr>
  <dimension ref="A1:U94"/>
  <sheetViews>
    <sheetView showGridLines="0" view="pageBreakPreview" topLeftCell="E37" zoomScale="76" zoomScaleNormal="92" zoomScaleSheetLayoutView="76" workbookViewId="0">
      <selection activeCell="L45" sqref="L45"/>
    </sheetView>
  </sheetViews>
  <sheetFormatPr defaultColWidth="9.08984375" defaultRowHeight="19" x14ac:dyDescent="0.45"/>
  <cols>
    <col min="1" max="1" width="9.08984375" style="193"/>
    <col min="2" max="2" width="12.36328125" style="193" customWidth="1"/>
    <col min="3" max="3" width="10.1796875" style="193" customWidth="1"/>
    <col min="4" max="4" width="47.08984375" style="193" customWidth="1"/>
    <col min="5" max="6" width="44.81640625" style="193" customWidth="1"/>
    <col min="7" max="7" width="11.08984375" style="193" customWidth="1"/>
    <col min="8" max="10" width="6.453125" style="193" bestFit="1" customWidth="1"/>
    <col min="11" max="11" width="8.36328125" style="193" bestFit="1" customWidth="1"/>
    <col min="12" max="12" width="27" style="193" bestFit="1" customWidth="1"/>
    <col min="13" max="13" width="23.1796875" style="193" bestFit="1" customWidth="1"/>
    <col min="14" max="14" width="25.453125" style="193" bestFit="1" customWidth="1"/>
    <col min="15" max="15" width="9.08984375" style="193"/>
    <col min="16" max="16" width="30.36328125" style="193" bestFit="1" customWidth="1"/>
    <col min="17" max="17" width="29.6328125" style="193" bestFit="1" customWidth="1"/>
    <col min="18" max="19" width="32.6328125" style="193" bestFit="1" customWidth="1"/>
    <col min="20" max="20" width="14.81640625" style="193" bestFit="1" customWidth="1"/>
    <col min="21" max="16384" width="9.08984375" style="193"/>
  </cols>
  <sheetData>
    <row r="1" spans="3:19" s="192" customFormat="1" ht="19.5" thickBot="1" x14ac:dyDescent="0.5">
      <c r="C1" s="189"/>
      <c r="D1" s="190"/>
      <c r="E1" s="191"/>
      <c r="F1" s="191"/>
      <c r="G1" s="191"/>
    </row>
    <row r="2" spans="3:19" ht="19.5" thickBot="1" x14ac:dyDescent="0.5">
      <c r="C2" s="189"/>
      <c r="D2" s="282" t="s">
        <v>138</v>
      </c>
      <c r="E2" s="283"/>
      <c r="F2" s="284"/>
      <c r="G2" s="215"/>
      <c r="K2" s="189"/>
      <c r="L2" s="282" t="s">
        <v>138</v>
      </c>
      <c r="M2" s="283"/>
      <c r="N2" s="284"/>
    </row>
    <row r="3" spans="3:19" x14ac:dyDescent="0.45">
      <c r="C3" s="189"/>
      <c r="D3" s="194"/>
      <c r="E3" s="189"/>
      <c r="F3" s="189"/>
      <c r="G3" s="189"/>
      <c r="K3" s="189"/>
      <c r="L3" s="194"/>
      <c r="M3" s="189"/>
      <c r="N3" s="189"/>
    </row>
    <row r="4" spans="3:19" ht="21" x14ac:dyDescent="0.45">
      <c r="C4" s="195" t="s">
        <v>139</v>
      </c>
      <c r="D4" s="285" t="s">
        <v>140</v>
      </c>
      <c r="E4" s="286"/>
      <c r="F4" s="287"/>
      <c r="G4" s="213"/>
      <c r="K4" s="195" t="s">
        <v>139</v>
      </c>
      <c r="L4" s="285" t="s">
        <v>140</v>
      </c>
      <c r="M4" s="286"/>
      <c r="N4" s="287"/>
      <c r="P4" s="216" t="s">
        <v>285</v>
      </c>
      <c r="Q4" s="216" t="s">
        <v>286</v>
      </c>
      <c r="R4" s="216" t="s">
        <v>287</v>
      </c>
      <c r="S4" s="216"/>
    </row>
    <row r="5" spans="3:19" ht="21" x14ac:dyDescent="0.45">
      <c r="C5" s="195">
        <v>73</v>
      </c>
      <c r="D5" s="288" t="s">
        <v>141</v>
      </c>
      <c r="E5" s="289"/>
      <c r="F5" s="290"/>
      <c r="G5" s="213"/>
      <c r="K5" s="195">
        <v>73</v>
      </c>
      <c r="L5" s="288" t="s">
        <v>141</v>
      </c>
      <c r="M5" s="289"/>
      <c r="N5" s="290"/>
    </row>
    <row r="6" spans="3:19" ht="21" x14ac:dyDescent="0.45">
      <c r="C6" s="195">
        <v>72</v>
      </c>
      <c r="D6" s="288"/>
      <c r="E6" s="289"/>
      <c r="F6" s="290"/>
      <c r="G6" s="213"/>
      <c r="K6" s="195">
        <v>72</v>
      </c>
      <c r="L6" s="288"/>
      <c r="M6" s="289"/>
      <c r="N6" s="290"/>
    </row>
    <row r="7" spans="3:19" ht="21" x14ac:dyDescent="0.45">
      <c r="C7" s="195">
        <v>71</v>
      </c>
      <c r="D7" s="288"/>
      <c r="E7" s="289"/>
      <c r="F7" s="290"/>
      <c r="G7" s="213"/>
      <c r="K7" s="195">
        <v>71</v>
      </c>
      <c r="L7" s="288"/>
      <c r="M7" s="289"/>
      <c r="N7" s="290"/>
    </row>
    <row r="8" spans="3:19" ht="21.5" thickBot="1" x14ac:dyDescent="0.5">
      <c r="C8" s="195">
        <v>70</v>
      </c>
      <c r="D8" s="291"/>
      <c r="E8" s="292"/>
      <c r="F8" s="293"/>
      <c r="G8" s="213"/>
      <c r="K8" s="195">
        <v>70</v>
      </c>
      <c r="L8" s="291"/>
      <c r="M8" s="292"/>
      <c r="N8" s="293"/>
    </row>
    <row r="9" spans="3:19" ht="18" customHeight="1" x14ac:dyDescent="0.45">
      <c r="C9" s="195">
        <v>69</v>
      </c>
      <c r="D9" s="294" t="s">
        <v>142</v>
      </c>
      <c r="E9" s="295"/>
      <c r="F9" s="296"/>
      <c r="G9" s="217"/>
      <c r="I9" s="193">
        <v>6901</v>
      </c>
      <c r="K9" s="195">
        <v>69</v>
      </c>
      <c r="L9" s="294">
        <f>'Muraba Unit Wise Details '!L226</f>
        <v>431857988.04556805</v>
      </c>
      <c r="M9" s="295"/>
      <c r="N9" s="296"/>
      <c r="P9" s="337">
        <f>L9</f>
        <v>431857988.04556805</v>
      </c>
      <c r="Q9" s="337">
        <f>'[2]Muraba Unit Wise Details '!J134</f>
        <v>26666.73</v>
      </c>
      <c r="R9" s="337">
        <f>P9/Q9</f>
        <v>16194.636089448089</v>
      </c>
      <c r="S9" s="337"/>
    </row>
    <row r="10" spans="3:19" ht="18" customHeight="1" thickBot="1" x14ac:dyDescent="0.5">
      <c r="C10" s="195">
        <v>68</v>
      </c>
      <c r="D10" s="297"/>
      <c r="E10" s="298"/>
      <c r="F10" s="299"/>
      <c r="G10" s="217"/>
      <c r="K10" s="195">
        <v>68</v>
      </c>
      <c r="L10" s="297"/>
      <c r="M10" s="298"/>
      <c r="N10" s="299"/>
      <c r="P10" s="337"/>
      <c r="Q10" s="337"/>
      <c r="R10" s="337"/>
      <c r="S10" s="337"/>
    </row>
    <row r="11" spans="3:19" ht="18" customHeight="1" thickBot="1" x14ac:dyDescent="0.5">
      <c r="C11" s="195">
        <v>67</v>
      </c>
      <c r="D11" s="300" t="s">
        <v>143</v>
      </c>
      <c r="E11" s="301"/>
      <c r="F11" s="302"/>
      <c r="G11" s="218"/>
      <c r="K11" s="195">
        <v>67</v>
      </c>
      <c r="L11" s="300" t="s">
        <v>143</v>
      </c>
      <c r="M11" s="301"/>
      <c r="N11" s="302"/>
      <c r="P11" s="219"/>
      <c r="Q11" s="219"/>
      <c r="R11" s="219"/>
      <c r="S11" s="219"/>
    </row>
    <row r="12" spans="3:19" ht="18" customHeight="1" x14ac:dyDescent="0.45">
      <c r="C12" s="195">
        <v>66</v>
      </c>
      <c r="D12" s="303" t="s">
        <v>144</v>
      </c>
      <c r="E12" s="305" t="s">
        <v>145</v>
      </c>
      <c r="F12" s="306"/>
      <c r="G12" s="220"/>
      <c r="I12" s="193">
        <f>I14+100</f>
        <v>6501</v>
      </c>
      <c r="J12" s="193">
        <f>6502</f>
        <v>6502</v>
      </c>
      <c r="K12" s="195">
        <v>66</v>
      </c>
      <c r="L12" s="303">
        <f>'Muraba Unit Wise Details '!L224</f>
        <v>79565627.999999985</v>
      </c>
      <c r="M12" s="305">
        <f>'Muraba Unit Wise Details '!L225</f>
        <v>147622511.91696</v>
      </c>
      <c r="N12" s="306"/>
      <c r="P12" s="338">
        <f>L12+M12</f>
        <v>227188139.91696</v>
      </c>
      <c r="Q12" s="338">
        <f>'Muraba Veil Sale Summary'!D11+'Muraba Veil Sale Summary'!D13</f>
        <v>22813.462258175998</v>
      </c>
      <c r="R12" s="338">
        <f>P12/Q12</f>
        <v>9958.5120989489096</v>
      </c>
      <c r="S12" s="338">
        <f>R12*1.2</f>
        <v>11950.21451873869</v>
      </c>
    </row>
    <row r="13" spans="3:19" ht="18" customHeight="1" thickBot="1" x14ac:dyDescent="0.5">
      <c r="C13" s="195">
        <v>65</v>
      </c>
      <c r="D13" s="304"/>
      <c r="E13" s="307"/>
      <c r="F13" s="308"/>
      <c r="G13" s="220"/>
      <c r="K13" s="195">
        <v>65</v>
      </c>
      <c r="L13" s="304"/>
      <c r="M13" s="307"/>
      <c r="N13" s="308"/>
      <c r="P13" s="338"/>
      <c r="Q13" s="338"/>
      <c r="R13" s="338"/>
      <c r="S13" s="338"/>
    </row>
    <row r="14" spans="3:19" ht="18" customHeight="1" thickBot="1" x14ac:dyDescent="0.5">
      <c r="C14" s="195">
        <v>64</v>
      </c>
      <c r="D14" s="312" t="s">
        <v>305</v>
      </c>
      <c r="E14" s="313"/>
      <c r="F14" s="314"/>
      <c r="G14" s="220"/>
      <c r="I14" s="193">
        <v>6401</v>
      </c>
      <c r="K14" s="195">
        <v>64</v>
      </c>
      <c r="L14" s="312">
        <f>'Muraba Unit Wise Details '!L223</f>
        <v>165573026.87499991</v>
      </c>
      <c r="M14" s="313"/>
      <c r="N14" s="314"/>
      <c r="P14" s="221">
        <f t="shared" ref="P14:P19" si="0">L14+M14</f>
        <v>165573026.87499991</v>
      </c>
      <c r="Q14" s="221">
        <f>'[2]Muraba Veil Sale Summary'!$D$11</f>
        <v>15332.544530176001</v>
      </c>
      <c r="R14" s="221">
        <f t="shared" ref="R14:R45" si="1">P14/Q14</f>
        <v>10798.796413024298</v>
      </c>
      <c r="S14" s="338"/>
    </row>
    <row r="15" spans="3:19" ht="18" customHeight="1" thickBot="1" x14ac:dyDescent="0.5">
      <c r="C15" s="195">
        <v>63</v>
      </c>
      <c r="D15" s="212" t="s">
        <v>299</v>
      </c>
      <c r="E15" s="312" t="s">
        <v>300</v>
      </c>
      <c r="F15" s="314"/>
      <c r="G15" s="220"/>
      <c r="I15" s="193">
        <f t="shared" ref="I15:I17" si="2">I16+100</f>
        <v>6301</v>
      </c>
      <c r="J15" s="193">
        <f t="shared" ref="J15:J17" si="3">J16+100</f>
        <v>6302</v>
      </c>
      <c r="K15" s="195">
        <v>63</v>
      </c>
      <c r="L15" s="212">
        <f>VLOOKUP(I15,Table2[[#Data],[#Totals],[Unit ]:[Price]],10,FALSE)</f>
        <v>30744792.095546607</v>
      </c>
      <c r="M15" s="312">
        <f>VLOOKUP(J15,'Muraba Unit Wise Details '!C1:L224,10,FALSE)</f>
        <v>48666840.794243224</v>
      </c>
      <c r="N15" s="314"/>
      <c r="P15" s="221">
        <f t="shared" si="0"/>
        <v>79411632.889789835</v>
      </c>
      <c r="Q15" s="221">
        <f>'Muraba Veil Sale Summary'!D9+'Muraba Veil Sale Summary'!D10</f>
        <v>14842.140772351999</v>
      </c>
      <c r="R15" s="221">
        <f t="shared" si="1"/>
        <v>5350.4163656578539</v>
      </c>
      <c r="S15" s="338"/>
    </row>
    <row r="16" spans="3:19" ht="18" customHeight="1" thickBot="1" x14ac:dyDescent="0.5">
      <c r="C16" s="195">
        <v>62</v>
      </c>
      <c r="D16" s="212" t="s">
        <v>298</v>
      </c>
      <c r="E16" s="312" t="s">
        <v>301</v>
      </c>
      <c r="F16" s="314"/>
      <c r="G16" s="220"/>
      <c r="I16" s="193">
        <f t="shared" si="2"/>
        <v>6201</v>
      </c>
      <c r="J16" s="193">
        <f t="shared" si="3"/>
        <v>6202</v>
      </c>
      <c r="K16" s="195">
        <v>62</v>
      </c>
      <c r="L16" s="212" t="e">
        <f>VLOOKUP(I16,Table2[[#Data],[#Totals],[Unit ]:[Price]],10,FALSE)</f>
        <v>#N/A</v>
      </c>
      <c r="M16" s="312" t="e">
        <f>VLOOKUP(J16,'Muraba Unit Wise Details '!C2:L225,10,FALSE)</f>
        <v>#N/A</v>
      </c>
      <c r="N16" s="314"/>
      <c r="P16" s="221" t="e">
        <f t="shared" si="0"/>
        <v>#N/A</v>
      </c>
      <c r="Q16" s="221">
        <f>Q15</f>
        <v>14842.140772351999</v>
      </c>
      <c r="R16" s="221" t="e">
        <f t="shared" si="1"/>
        <v>#N/A</v>
      </c>
      <c r="S16" s="338"/>
    </row>
    <row r="17" spans="3:21" ht="18" customHeight="1" thickBot="1" x14ac:dyDescent="0.5">
      <c r="C17" s="195">
        <v>61</v>
      </c>
      <c r="D17" s="212" t="s">
        <v>297</v>
      </c>
      <c r="E17" s="312" t="s">
        <v>302</v>
      </c>
      <c r="F17" s="314"/>
      <c r="G17" s="220"/>
      <c r="I17" s="193">
        <f t="shared" si="2"/>
        <v>6101</v>
      </c>
      <c r="J17" s="193">
        <f t="shared" si="3"/>
        <v>6102</v>
      </c>
      <c r="K17" s="195">
        <v>61</v>
      </c>
      <c r="L17" s="212">
        <f>VLOOKUP(I17,Table2[[#Data],[#Totals],[Unit ]:[Price]],10,FALSE)</f>
        <v>30380882.849999998</v>
      </c>
      <c r="M17" s="312">
        <f>VLOOKUP(J17,'Muraba Unit Wise Details '!C3:L226,10,FALSE)</f>
        <v>47883107.216881618</v>
      </c>
      <c r="N17" s="314"/>
      <c r="P17" s="221">
        <f t="shared" si="0"/>
        <v>78263990.066881612</v>
      </c>
      <c r="Q17" s="221">
        <f t="shared" ref="Q17:Q19" si="4">Q16</f>
        <v>14842.140772351999</v>
      </c>
      <c r="R17" s="221">
        <f t="shared" si="1"/>
        <v>5273.0930980436524</v>
      </c>
      <c r="S17" s="338"/>
    </row>
    <row r="18" spans="3:21" ht="18" customHeight="1" thickBot="1" x14ac:dyDescent="0.5">
      <c r="C18" s="195">
        <v>60</v>
      </c>
      <c r="D18" s="212" t="s">
        <v>296</v>
      </c>
      <c r="E18" s="312" t="s">
        <v>303</v>
      </c>
      <c r="F18" s="314"/>
      <c r="G18" s="220"/>
      <c r="I18" s="193">
        <f>I19+100</f>
        <v>6001</v>
      </c>
      <c r="J18" s="193">
        <f>J19+100</f>
        <v>6002</v>
      </c>
      <c r="K18" s="195">
        <v>60</v>
      </c>
      <c r="L18" s="212">
        <f>VLOOKUP(I18,Table2[[#Data],[#Totals],[Unit ]:[Price]],10,FALSE)</f>
        <v>29940580.199999999</v>
      </c>
      <c r="M18" s="312">
        <f>VLOOKUP(J18,'Muraba Unit Wise Details '!C4:L227,10,FALSE)</f>
        <v>42954629</v>
      </c>
      <c r="N18" s="314"/>
      <c r="P18" s="221">
        <f t="shared" ref="P18" si="5">L18+M18</f>
        <v>72895209.200000003</v>
      </c>
      <c r="Q18" s="221">
        <f t="shared" si="4"/>
        <v>14842.140772351999</v>
      </c>
      <c r="R18" s="221">
        <f t="shared" si="1"/>
        <v>4911.3675929950414</v>
      </c>
      <c r="S18" s="338"/>
    </row>
    <row r="19" spans="3:21" ht="18" customHeight="1" thickBot="1" x14ac:dyDescent="0.5">
      <c r="C19" s="195">
        <v>59</v>
      </c>
      <c r="D19" s="212" t="s">
        <v>295</v>
      </c>
      <c r="E19" s="312" t="s">
        <v>304</v>
      </c>
      <c r="F19" s="314"/>
      <c r="G19" s="220"/>
      <c r="I19" s="193">
        <f>I21+200</f>
        <v>5901</v>
      </c>
      <c r="J19" s="193">
        <v>5902</v>
      </c>
      <c r="K19" s="195">
        <v>59</v>
      </c>
      <c r="L19" s="212">
        <f>VLOOKUP(I19,Table2[[#Data],[#Totals],[Unit ]:[Price]],10,FALSE)</f>
        <v>38305358.947086722</v>
      </c>
      <c r="M19" s="312">
        <f>VLOOKUP(J19,'Muraba Unit Wise Details '!C1:L224,10,FALSE)</f>
        <v>33401336.438321277</v>
      </c>
      <c r="N19" s="314"/>
      <c r="P19" s="221">
        <f t="shared" si="0"/>
        <v>71706695.385407999</v>
      </c>
      <c r="Q19" s="221">
        <f t="shared" si="4"/>
        <v>14842.140772351999</v>
      </c>
      <c r="R19" s="221">
        <f t="shared" si="1"/>
        <v>4831.2906126711541</v>
      </c>
      <c r="S19" s="338"/>
    </row>
    <row r="20" spans="3:21" ht="18" customHeight="1" thickBot="1" x14ac:dyDescent="0.5">
      <c r="C20" s="195">
        <v>58</v>
      </c>
      <c r="D20" s="309" t="s">
        <v>152</v>
      </c>
      <c r="E20" s="310"/>
      <c r="F20" s="311"/>
      <c r="G20" s="218"/>
      <c r="K20" s="195">
        <v>58</v>
      </c>
      <c r="L20" s="309" t="s">
        <v>152</v>
      </c>
      <c r="M20" s="310"/>
      <c r="N20" s="311"/>
      <c r="P20" s="219"/>
      <c r="Q20" s="219"/>
      <c r="R20" s="219"/>
      <c r="S20" s="219"/>
    </row>
    <row r="21" spans="3:21" ht="18" customHeight="1" thickBot="1" x14ac:dyDescent="0.5">
      <c r="C21" s="195">
        <v>57</v>
      </c>
      <c r="D21" s="212" t="s">
        <v>291</v>
      </c>
      <c r="E21" s="312" t="s">
        <v>294</v>
      </c>
      <c r="F21" s="314"/>
      <c r="G21" s="220"/>
      <c r="I21" s="193">
        <f t="shared" ref="I21:J25" si="6">I22+100</f>
        <v>5701</v>
      </c>
      <c r="J21" s="193">
        <v>5702</v>
      </c>
      <c r="K21" s="195">
        <v>57</v>
      </c>
      <c r="L21" s="212">
        <f>VLOOKUP(I21,Table2[[#Data],[#Totals],[Unit ]:[Price]],10,FALSE)</f>
        <v>37780628.002606079</v>
      </c>
      <c r="M21" s="312">
        <f>VLOOKUP(J21,'Muraba Unit Wise Details '!C3:L226,10,FALSE)</f>
        <v>32995652.190082557</v>
      </c>
      <c r="N21" s="314"/>
      <c r="P21" s="221">
        <f>L21+M21</f>
        <v>70776280.192688644</v>
      </c>
      <c r="Q21" s="221">
        <f>Q19</f>
        <v>14842.140772351999</v>
      </c>
      <c r="R21" s="221">
        <f t="shared" si="1"/>
        <v>4768.6032142028316</v>
      </c>
      <c r="S21" s="221"/>
    </row>
    <row r="22" spans="3:21" ht="18" customHeight="1" thickBot="1" x14ac:dyDescent="0.5">
      <c r="C22" s="195">
        <v>56</v>
      </c>
      <c r="D22" s="212" t="s">
        <v>292</v>
      </c>
      <c r="E22" s="312" t="s">
        <v>293</v>
      </c>
      <c r="F22" s="314"/>
      <c r="G22" s="220"/>
      <c r="I22" s="193">
        <v>5601</v>
      </c>
      <c r="J22" s="193">
        <v>5602</v>
      </c>
      <c r="K22" s="195">
        <v>56</v>
      </c>
      <c r="L22" s="212">
        <f>VLOOKUP(I22,Table2[[#Data],[#Totals],[Unit ]:[Price]],10,FALSE)</f>
        <v>37255897.058125436</v>
      </c>
      <c r="M22" s="312">
        <f>VLOOKUP(J22,'Muraba Unit Wise Details '!C4:L227,10,FALSE)</f>
        <v>32589967.941843837</v>
      </c>
      <c r="N22" s="314"/>
      <c r="P22" s="221">
        <f>L22+M22</f>
        <v>69845864.999969274</v>
      </c>
      <c r="Q22" s="221">
        <f>Q21</f>
        <v>14842.140772351999</v>
      </c>
      <c r="R22" s="221">
        <f t="shared" si="1"/>
        <v>4705.9158157345091</v>
      </c>
      <c r="S22" s="221"/>
    </row>
    <row r="23" spans="3:21" ht="18" customHeight="1" thickBot="1" x14ac:dyDescent="0.5">
      <c r="C23" s="195">
        <v>55</v>
      </c>
      <c r="D23" s="199" t="str">
        <f t="shared" ref="D23:D27" si="7">C23&amp;"01"&amp;"-3BR"</f>
        <v>5501-3BR</v>
      </c>
      <c r="E23" s="201" t="str">
        <f t="shared" ref="E23:E27" si="8">C23&amp;"02- 2 BR"</f>
        <v>5502- 2 BR</v>
      </c>
      <c r="F23" s="199" t="str">
        <f t="shared" ref="F23:F27" si="9">C23&amp;"03 - 2 BR"</f>
        <v>5503 - 2 BR</v>
      </c>
      <c r="G23" s="220"/>
      <c r="H23" s="193">
        <f t="shared" ref="H23:H25" si="10">H24+100</f>
        <v>5501</v>
      </c>
      <c r="I23" s="193">
        <f t="shared" si="6"/>
        <v>5502</v>
      </c>
      <c r="J23" s="193">
        <f t="shared" si="6"/>
        <v>5503</v>
      </c>
      <c r="K23" s="195">
        <v>55</v>
      </c>
      <c r="L23" s="229">
        <f>VLOOKUP(H23,Table2[[#Data],[#Totals],[Unit ]:[Price]],10,FALSE)</f>
        <v>36731166.113644801</v>
      </c>
      <c r="M23" s="229">
        <f>VLOOKUP(I23,Table2[[#Data],[#Totals],[Unit ]:[Price]],10,FALSE)</f>
        <v>32184283.693605117</v>
      </c>
      <c r="N23" s="229">
        <f>VLOOKUP(J23,Table2[[#Data],[#Totals],[Unit ]:[Price]],10,FALSE)</f>
        <v>32184283.693605117</v>
      </c>
      <c r="P23" s="221">
        <f>L23+M23+N23</f>
        <v>101099733.50085503</v>
      </c>
      <c r="Q23" s="221">
        <f>'[2]Muraba Unit Wise Details '!H78+('[2]Muraba Unit Wise Details '!H54*2)</f>
        <v>12615.625906112</v>
      </c>
      <c r="R23" s="221">
        <f t="shared" si="1"/>
        <v>8013.8499867750816</v>
      </c>
      <c r="S23" s="221"/>
    </row>
    <row r="24" spans="3:21" ht="18" customHeight="1" thickBot="1" x14ac:dyDescent="0.5">
      <c r="C24" s="195">
        <v>54</v>
      </c>
      <c r="D24" s="199" t="str">
        <f t="shared" si="7"/>
        <v>5401-3BR</v>
      </c>
      <c r="E24" s="201" t="str">
        <f t="shared" si="8"/>
        <v>5402- 2 BR</v>
      </c>
      <c r="F24" s="199" t="str">
        <f t="shared" si="9"/>
        <v>5403 - 2 BR</v>
      </c>
      <c r="G24" s="220"/>
      <c r="H24" s="193">
        <f t="shared" si="10"/>
        <v>5401</v>
      </c>
      <c r="I24" s="193">
        <f t="shared" si="6"/>
        <v>5402</v>
      </c>
      <c r="J24" s="193">
        <f t="shared" si="6"/>
        <v>5403</v>
      </c>
      <c r="K24" s="195">
        <v>54</v>
      </c>
      <c r="L24" s="229">
        <f>VLOOKUP(H24,Table2[[#Data],[#Totals],[Unit ]:[Price]],10,FALSE)</f>
        <v>36206435.169164158</v>
      </c>
      <c r="M24" s="229">
        <f>VLOOKUP(I24,Table2[[#Data],[#Totals],[Unit ]:[Price]],10,FALSE)</f>
        <v>31778599.445366398</v>
      </c>
      <c r="N24" s="229">
        <f>VLOOKUP(J24,Table2[[#Data],[#Totals],[Unit ]:[Price]],10,FALSE)</f>
        <v>31778599.445366398</v>
      </c>
      <c r="P24" s="221">
        <f t="shared" ref="P24:P45" si="11">L24+M24+N24</f>
        <v>99763634.059896961</v>
      </c>
      <c r="Q24" s="221">
        <f t="shared" ref="Q24:Q27" si="12">Q23</f>
        <v>12615.625906112</v>
      </c>
      <c r="R24" s="221">
        <f t="shared" si="1"/>
        <v>7907.9416909123483</v>
      </c>
      <c r="S24" s="221"/>
    </row>
    <row r="25" spans="3:21" ht="18" customHeight="1" thickBot="1" x14ac:dyDescent="0.5">
      <c r="C25" s="195">
        <v>53</v>
      </c>
      <c r="D25" s="199" t="str">
        <f t="shared" si="7"/>
        <v>5301-3BR</v>
      </c>
      <c r="E25" s="201" t="str">
        <f t="shared" si="8"/>
        <v>5302- 2 BR</v>
      </c>
      <c r="F25" s="199" t="str">
        <f t="shared" si="9"/>
        <v>5303 - 2 BR</v>
      </c>
      <c r="G25" s="220"/>
      <c r="H25" s="193">
        <f t="shared" si="10"/>
        <v>5301</v>
      </c>
      <c r="I25" s="193">
        <f t="shared" si="6"/>
        <v>5302</v>
      </c>
      <c r="J25" s="193">
        <f t="shared" si="6"/>
        <v>5303</v>
      </c>
      <c r="K25" s="195">
        <v>53</v>
      </c>
      <c r="L25" s="229">
        <f>VLOOKUP(H25,Table2[[#Data],[#Totals],[Unit ]:[Price]],10,FALSE)</f>
        <v>35681704.224683516</v>
      </c>
      <c r="M25" s="229">
        <f>VLOOKUP(I25,Table2[[#Data],[#Totals],[Unit ]:[Price]],10,FALSE)</f>
        <v>31372915.197127678</v>
      </c>
      <c r="N25" s="229">
        <f>VLOOKUP(J25,Table2[[#Data],[#Totals],[Unit ]:[Price]],10,FALSE)</f>
        <v>31372915.197127678</v>
      </c>
      <c r="P25" s="221">
        <f t="shared" si="11"/>
        <v>98427534.618938863</v>
      </c>
      <c r="Q25" s="221">
        <f t="shared" si="12"/>
        <v>12615.625906112</v>
      </c>
      <c r="R25" s="221">
        <f t="shared" si="1"/>
        <v>7802.0333950496133</v>
      </c>
      <c r="S25" s="221"/>
    </row>
    <row r="26" spans="3:21" ht="18" customHeight="1" thickBot="1" x14ac:dyDescent="0.5">
      <c r="C26" s="195">
        <v>52</v>
      </c>
      <c r="D26" s="199" t="str">
        <f t="shared" si="7"/>
        <v>5201-3BR</v>
      </c>
      <c r="E26" s="201" t="str">
        <f t="shared" si="8"/>
        <v>5202- 2 BR</v>
      </c>
      <c r="F26" s="199" t="str">
        <f t="shared" si="9"/>
        <v>5203 - 2 BR</v>
      </c>
      <c r="G26" s="220"/>
      <c r="H26" s="193">
        <f>H27+100</f>
        <v>5201</v>
      </c>
      <c r="I26" s="193">
        <f>I27+100</f>
        <v>5202</v>
      </c>
      <c r="J26" s="193">
        <f>J27+100</f>
        <v>5203</v>
      </c>
      <c r="K26" s="195">
        <v>52</v>
      </c>
      <c r="L26" s="229">
        <f>VLOOKUP(H26,Table2[[#Data],[#Totals],[Unit ]:[Price]],10,FALSE)</f>
        <v>35156973.280202881</v>
      </c>
      <c r="M26" s="229">
        <f>VLOOKUP(I26,Table2[[#Data],[#Totals],[Unit ]:[Price]],10,FALSE)</f>
        <v>30967230.948888958</v>
      </c>
      <c r="N26" s="229">
        <f>VLOOKUP(J26,Table2[[#Data],[#Totals],[Unit ]:[Price]],10,FALSE)</f>
        <v>30967230.948888958</v>
      </c>
      <c r="P26" s="221">
        <f t="shared" si="11"/>
        <v>97091435.177980796</v>
      </c>
      <c r="Q26" s="221">
        <f t="shared" si="12"/>
        <v>12615.625906112</v>
      </c>
      <c r="R26" s="221">
        <f t="shared" si="1"/>
        <v>7696.125099186881</v>
      </c>
      <c r="S26" s="221"/>
    </row>
    <row r="27" spans="3:21" ht="18" customHeight="1" thickBot="1" x14ac:dyDescent="0.5">
      <c r="C27" s="195">
        <v>51</v>
      </c>
      <c r="D27" s="199" t="str">
        <f t="shared" si="7"/>
        <v>5101-3BR</v>
      </c>
      <c r="E27" s="201" t="str">
        <f t="shared" si="8"/>
        <v>5102- 2 BR</v>
      </c>
      <c r="F27" s="199" t="str">
        <f t="shared" si="9"/>
        <v>5103 - 2 BR</v>
      </c>
      <c r="G27" s="220"/>
      <c r="H27" s="193">
        <f>H29+200</f>
        <v>5101</v>
      </c>
      <c r="I27" s="193">
        <f t="shared" ref="I27:J27" si="13">I29+200</f>
        <v>5102</v>
      </c>
      <c r="J27" s="193">
        <f t="shared" si="13"/>
        <v>5103</v>
      </c>
      <c r="K27" s="195">
        <v>51</v>
      </c>
      <c r="L27" s="229">
        <f>VLOOKUP(H27,Table2[[#Data],[#Totals],[Unit ]:[Price]],10,FALSE)</f>
        <v>34632242.335722238</v>
      </c>
      <c r="M27" s="229">
        <f>VLOOKUP(I27,Table2[[#Data],[#Totals],[Unit ]:[Price]],10,FALSE)</f>
        <v>30561546.700650238</v>
      </c>
      <c r="N27" s="229">
        <f>VLOOKUP(J27,Table2[[#Data],[#Totals],[Unit ]:[Price]],10,FALSE)</f>
        <v>30561546.700650238</v>
      </c>
      <c r="P27" s="221">
        <f t="shared" si="11"/>
        <v>95755335.737022713</v>
      </c>
      <c r="Q27" s="221">
        <f t="shared" si="12"/>
        <v>12615.625906112</v>
      </c>
      <c r="R27" s="221">
        <f t="shared" si="1"/>
        <v>7590.2168033241469</v>
      </c>
      <c r="S27" s="221"/>
    </row>
    <row r="28" spans="3:21" ht="18" customHeight="1" thickBot="1" x14ac:dyDescent="0.5">
      <c r="C28" s="195">
        <v>50</v>
      </c>
      <c r="D28" s="315" t="s">
        <v>160</v>
      </c>
      <c r="E28" s="316"/>
      <c r="F28" s="317"/>
      <c r="G28" s="218"/>
      <c r="K28" s="195">
        <v>50</v>
      </c>
      <c r="L28" s="315" t="s">
        <v>160</v>
      </c>
      <c r="M28" s="316"/>
      <c r="N28" s="317"/>
      <c r="P28" s="219"/>
      <c r="Q28" s="219"/>
      <c r="R28" s="219"/>
      <c r="S28" s="219"/>
    </row>
    <row r="29" spans="3:21" ht="18" customHeight="1" thickBot="1" x14ac:dyDescent="0.5">
      <c r="C29" s="195">
        <v>49</v>
      </c>
      <c r="D29" s="199" t="str">
        <f t="shared" ref="D29:D43" si="14">C29&amp;"01"&amp;"-3BR"</f>
        <v>4901-3BR</v>
      </c>
      <c r="E29" s="201" t="str">
        <f t="shared" ref="E29:E43" si="15">C29&amp;"02- 2 BR"</f>
        <v>4902- 2 BR</v>
      </c>
      <c r="F29" s="199" t="str">
        <f t="shared" ref="F29:F43" si="16">C29&amp;"03 - 2 BR"</f>
        <v>4903 - 2 BR</v>
      </c>
      <c r="G29" s="220"/>
      <c r="H29" s="193">
        <f t="shared" ref="H29:H43" si="17">H30+100</f>
        <v>4901</v>
      </c>
      <c r="I29" s="193">
        <f t="shared" ref="I29:J43" si="18">I30+100</f>
        <v>4902</v>
      </c>
      <c r="J29" s="193">
        <f t="shared" si="18"/>
        <v>4903</v>
      </c>
      <c r="K29" s="195">
        <v>49</v>
      </c>
      <c r="L29" s="229">
        <f>VLOOKUP(H29,Table2[[#Data],[#Totals],[Unit ]:[Price]],10,FALSE)</f>
        <v>34107511.391241595</v>
      </c>
      <c r="M29" s="229">
        <f>VLOOKUP(I29,Table2[[#Data],[#Totals],[Unit ]:[Price]],10,FALSE)</f>
        <v>30155862.452411518</v>
      </c>
      <c r="N29" s="229">
        <f>VLOOKUP(J29,Table2[[#Data],[#Totals],[Unit ]:[Price]],10,FALSE)</f>
        <v>30155862.452411518</v>
      </c>
      <c r="P29" s="221">
        <f t="shared" si="11"/>
        <v>94419236.29606463</v>
      </c>
      <c r="Q29" s="221">
        <f>Q27</f>
        <v>12615.625906112</v>
      </c>
      <c r="R29" s="221">
        <f t="shared" si="1"/>
        <v>7484.3085074614128</v>
      </c>
      <c r="S29" s="221"/>
      <c r="T29" s="205"/>
      <c r="U29" s="206"/>
    </row>
    <row r="30" spans="3:21" ht="18" customHeight="1" thickBot="1" x14ac:dyDescent="0.5">
      <c r="C30" s="195">
        <v>48</v>
      </c>
      <c r="D30" s="199" t="str">
        <f t="shared" si="14"/>
        <v>4801-3BR</v>
      </c>
      <c r="E30" s="201" t="str">
        <f t="shared" si="15"/>
        <v>4802- 2 BR</v>
      </c>
      <c r="F30" s="199" t="str">
        <f t="shared" si="16"/>
        <v>4803 - 2 BR</v>
      </c>
      <c r="G30" s="220"/>
      <c r="H30" s="193">
        <f t="shared" si="17"/>
        <v>4801</v>
      </c>
      <c r="I30" s="193">
        <f t="shared" si="18"/>
        <v>4802</v>
      </c>
      <c r="J30" s="193">
        <f t="shared" si="18"/>
        <v>4803</v>
      </c>
      <c r="K30" s="195">
        <v>48</v>
      </c>
      <c r="L30" s="229">
        <f>VLOOKUP(H30,Table2[[#Data],[#Totals],[Unit ]:[Price]],10,FALSE)</f>
        <v>33582780.44676096</v>
      </c>
      <c r="M30" s="229">
        <f>VLOOKUP(I30,Table2[[#Data],[#Totals],[Unit ]:[Price]],10,FALSE)</f>
        <v>29750178.204172798</v>
      </c>
      <c r="N30" s="229">
        <f>VLOOKUP(J30,Table2[[#Data],[#Totals],[Unit ]:[Price]],10,FALSE)</f>
        <v>29750178.204172798</v>
      </c>
      <c r="P30" s="221">
        <f t="shared" si="11"/>
        <v>93083136.855106562</v>
      </c>
      <c r="Q30" s="221">
        <f>Q29</f>
        <v>12615.625906112</v>
      </c>
      <c r="R30" s="221">
        <f t="shared" si="1"/>
        <v>7378.4002115986796</v>
      </c>
      <c r="S30" s="221"/>
    </row>
    <row r="31" spans="3:21" ht="18" customHeight="1" thickBot="1" x14ac:dyDescent="0.5">
      <c r="C31" s="195">
        <v>47</v>
      </c>
      <c r="D31" s="199" t="str">
        <f t="shared" si="14"/>
        <v>4701-3BR</v>
      </c>
      <c r="E31" s="201" t="str">
        <f t="shared" si="15"/>
        <v>4702- 2 BR</v>
      </c>
      <c r="F31" s="199" t="str">
        <f t="shared" si="16"/>
        <v>4703 - 2 BR</v>
      </c>
      <c r="G31" s="220"/>
      <c r="H31" s="193">
        <f t="shared" si="17"/>
        <v>4701</v>
      </c>
      <c r="I31" s="193">
        <f t="shared" si="18"/>
        <v>4702</v>
      </c>
      <c r="J31" s="193">
        <f t="shared" si="18"/>
        <v>4703</v>
      </c>
      <c r="K31" s="195">
        <v>47</v>
      </c>
      <c r="L31" s="229">
        <f>VLOOKUP(H31,Table2[[#Data],[#Totals],[Unit ]:[Price]],10,FALSE)</f>
        <v>33058049.502280317</v>
      </c>
      <c r="M31" s="229">
        <f>VLOOKUP(I31,Table2[[#Data],[#Totals],[Unit ]:[Price]],10,FALSE)</f>
        <v>29344493.955934078</v>
      </c>
      <c r="N31" s="229">
        <f>VLOOKUP(J31,Table2[[#Data],[#Totals],[Unit ]:[Price]],10,FALSE)</f>
        <v>29344493.955934078</v>
      </c>
      <c r="P31" s="221">
        <f t="shared" si="11"/>
        <v>91747037.41414848</v>
      </c>
      <c r="Q31" s="221">
        <f t="shared" ref="Q31:Q45" si="19">Q30</f>
        <v>12615.625906112</v>
      </c>
      <c r="R31" s="221">
        <f t="shared" si="1"/>
        <v>7272.4919157359454</v>
      </c>
      <c r="S31" s="221"/>
    </row>
    <row r="32" spans="3:21" ht="18" customHeight="1" thickBot="1" x14ac:dyDescent="0.5">
      <c r="C32" s="195">
        <v>46</v>
      </c>
      <c r="D32" s="199" t="str">
        <f t="shared" si="14"/>
        <v>4601-3BR</v>
      </c>
      <c r="E32" s="201" t="str">
        <f t="shared" si="15"/>
        <v>4602- 2 BR</v>
      </c>
      <c r="F32" s="199" t="str">
        <f t="shared" si="16"/>
        <v>4603 - 2 BR</v>
      </c>
      <c r="G32" s="220"/>
      <c r="H32" s="193">
        <f t="shared" si="17"/>
        <v>4601</v>
      </c>
      <c r="I32" s="193">
        <f t="shared" si="18"/>
        <v>4602</v>
      </c>
      <c r="J32" s="193">
        <f t="shared" si="18"/>
        <v>4603</v>
      </c>
      <c r="K32" s="195">
        <v>46</v>
      </c>
      <c r="L32" s="229">
        <f>VLOOKUP(H32,Table2[[#Data],[#Totals],[Unit ]:[Price]],10,FALSE)</f>
        <v>32533318.557799678</v>
      </c>
      <c r="M32" s="229">
        <f>VLOOKUP(I32,Table2[[#Data],[#Totals],[Unit ]:[Price]],10,FALSE)</f>
        <v>28938809.707695358</v>
      </c>
      <c r="N32" s="229">
        <f>VLOOKUP(J32,Table2[[#Data],[#Totals],[Unit ]:[Price]],10,FALSE)</f>
        <v>28938809.707695358</v>
      </c>
      <c r="P32" s="221">
        <f t="shared" si="11"/>
        <v>90410937.973190397</v>
      </c>
      <c r="Q32" s="221">
        <f t="shared" si="19"/>
        <v>12615.625906112</v>
      </c>
      <c r="R32" s="221">
        <f t="shared" si="1"/>
        <v>7166.5836198732113</v>
      </c>
      <c r="S32" s="221"/>
    </row>
    <row r="33" spans="1:19" ht="18" customHeight="1" thickBot="1" x14ac:dyDescent="0.5">
      <c r="C33" s="195">
        <v>45</v>
      </c>
      <c r="D33" s="199" t="str">
        <f t="shared" si="14"/>
        <v>4501-3BR</v>
      </c>
      <c r="E33" s="201" t="str">
        <f t="shared" si="15"/>
        <v>4502- 2 BR</v>
      </c>
      <c r="F33" s="199" t="str">
        <f t="shared" si="16"/>
        <v>4503 - 2 BR</v>
      </c>
      <c r="G33" s="220"/>
      <c r="H33" s="193">
        <f t="shared" si="17"/>
        <v>4501</v>
      </c>
      <c r="I33" s="193">
        <f t="shared" si="18"/>
        <v>4502</v>
      </c>
      <c r="J33" s="193">
        <f t="shared" si="18"/>
        <v>4503</v>
      </c>
      <c r="K33" s="195">
        <v>45</v>
      </c>
      <c r="L33" s="229">
        <f>VLOOKUP(H33,Table2[[#Data],[#Totals],[Unit ]:[Price]],10,FALSE)</f>
        <v>32008587.613319039</v>
      </c>
      <c r="M33" s="229">
        <f>VLOOKUP(I33,Table2[[#Data],[#Totals],[Unit ]:[Price]],10,FALSE)</f>
        <v>28533125.459456638</v>
      </c>
      <c r="N33" s="229">
        <f>VLOOKUP(J33,Table2[[#Data],[#Totals],[Unit ]:[Price]],10,FALSE)</f>
        <v>28533125.459456638</v>
      </c>
      <c r="P33" s="221">
        <f t="shared" si="11"/>
        <v>89074838.532232314</v>
      </c>
      <c r="Q33" s="221">
        <f t="shared" si="19"/>
        <v>12615.625906112</v>
      </c>
      <c r="R33" s="221">
        <f t="shared" si="1"/>
        <v>7060.6753240104772</v>
      </c>
      <c r="S33" s="221"/>
    </row>
    <row r="34" spans="1:19" ht="18" customHeight="1" thickBot="1" x14ac:dyDescent="0.5">
      <c r="C34" s="195">
        <v>44</v>
      </c>
      <c r="D34" s="199" t="str">
        <f t="shared" si="14"/>
        <v>4401-3BR</v>
      </c>
      <c r="E34" s="201" t="str">
        <f t="shared" si="15"/>
        <v>4402- 2 BR</v>
      </c>
      <c r="F34" s="199" t="str">
        <f t="shared" si="16"/>
        <v>4403 - 2 BR</v>
      </c>
      <c r="G34" s="220"/>
      <c r="H34" s="193">
        <f t="shared" si="17"/>
        <v>4401</v>
      </c>
      <c r="I34" s="193">
        <f t="shared" si="18"/>
        <v>4402</v>
      </c>
      <c r="J34" s="193">
        <f t="shared" si="18"/>
        <v>4403</v>
      </c>
      <c r="K34" s="195">
        <v>44</v>
      </c>
      <c r="L34" s="229">
        <f>VLOOKUP(H34,Table2[[#Data],[#Totals],[Unit ]:[Price]],10,FALSE)</f>
        <v>31483856.6688384</v>
      </c>
      <c r="M34" s="229">
        <f>VLOOKUP(I34,Table2[[#Data],[#Totals],[Unit ]:[Price]],10,FALSE)</f>
        <v>28127441.211217918</v>
      </c>
      <c r="N34" s="229">
        <f>VLOOKUP(J34,Table2[[#Data],[#Totals],[Unit ]:[Price]],10,FALSE)</f>
        <v>28127441.211217918</v>
      </c>
      <c r="P34" s="221">
        <f t="shared" si="11"/>
        <v>87738739.091274232</v>
      </c>
      <c r="Q34" s="221">
        <f t="shared" si="19"/>
        <v>12615.625906112</v>
      </c>
      <c r="R34" s="221">
        <f t="shared" si="1"/>
        <v>6954.7670281477431</v>
      </c>
      <c r="S34" s="221"/>
    </row>
    <row r="35" spans="1:19" ht="18" customHeight="1" thickBot="1" x14ac:dyDescent="0.5">
      <c r="C35" s="195">
        <v>43</v>
      </c>
      <c r="D35" s="199" t="str">
        <f t="shared" si="14"/>
        <v>4301-3BR</v>
      </c>
      <c r="E35" s="201" t="str">
        <f t="shared" si="15"/>
        <v>4302- 2 BR</v>
      </c>
      <c r="F35" s="199" t="str">
        <f t="shared" si="16"/>
        <v>4303 - 2 BR</v>
      </c>
      <c r="G35" s="220"/>
      <c r="H35" s="193">
        <f t="shared" si="17"/>
        <v>4301</v>
      </c>
      <c r="I35" s="193">
        <f t="shared" si="18"/>
        <v>4302</v>
      </c>
      <c r="J35" s="193">
        <f t="shared" si="18"/>
        <v>4303</v>
      </c>
      <c r="K35" s="195">
        <v>43</v>
      </c>
      <c r="L35" s="229">
        <f>VLOOKUP(H35,Table2[[#Data],[#Totals],[Unit ]:[Price]],10,FALSE)</f>
        <v>30959125.724357758</v>
      </c>
      <c r="M35" s="229">
        <f>VLOOKUP(I35,Table2[[#Data],[#Totals],[Unit ]:[Price]],10,FALSE)</f>
        <v>27721756.962979198</v>
      </c>
      <c r="N35" s="229">
        <f>VLOOKUP(J35,Table2[[#Data],[#Totals],[Unit ]:[Price]],10,FALSE)</f>
        <v>27721756.962979198</v>
      </c>
      <c r="P35" s="221">
        <f t="shared" si="11"/>
        <v>86402639.650316149</v>
      </c>
      <c r="Q35" s="221">
        <f t="shared" si="19"/>
        <v>12615.625906112</v>
      </c>
      <c r="R35" s="221">
        <f t="shared" si="1"/>
        <v>6848.858732285009</v>
      </c>
      <c r="S35" s="221"/>
    </row>
    <row r="36" spans="1:19" ht="18" customHeight="1" thickBot="1" x14ac:dyDescent="0.5">
      <c r="C36" s="195">
        <v>42</v>
      </c>
      <c r="D36" s="199" t="str">
        <f t="shared" si="14"/>
        <v>4201-3BR</v>
      </c>
      <c r="E36" s="201" t="str">
        <f t="shared" si="15"/>
        <v>4202- 2 BR</v>
      </c>
      <c r="F36" s="199" t="str">
        <f t="shared" si="16"/>
        <v>4203 - 2 BR</v>
      </c>
      <c r="G36" s="220"/>
      <c r="H36" s="193">
        <f t="shared" si="17"/>
        <v>4201</v>
      </c>
      <c r="I36" s="193">
        <f t="shared" si="18"/>
        <v>4202</v>
      </c>
      <c r="J36" s="193">
        <f t="shared" si="18"/>
        <v>4203</v>
      </c>
      <c r="K36" s="195">
        <v>42</v>
      </c>
      <c r="L36" s="229">
        <f>VLOOKUP(H36,Table2[[#Data],[#Totals],[Unit ]:[Price]],10,FALSE)</f>
        <v>30434394.779877119</v>
      </c>
      <c r="M36" s="229">
        <f>VLOOKUP(I36,Table2[[#Data],[#Totals],[Unit ]:[Price]],10,FALSE)</f>
        <v>27316072.714740478</v>
      </c>
      <c r="N36" s="229">
        <f>VLOOKUP(J36,Table2[[#Data],[#Totals],[Unit ]:[Price]],10,FALSE)</f>
        <v>27316072.714740478</v>
      </c>
      <c r="P36" s="221">
        <f t="shared" si="11"/>
        <v>85066540.209358066</v>
      </c>
      <c r="Q36" s="221">
        <f t="shared" si="19"/>
        <v>12615.625906112</v>
      </c>
      <c r="R36" s="221">
        <f t="shared" si="1"/>
        <v>6742.9504364222748</v>
      </c>
      <c r="S36" s="221"/>
    </row>
    <row r="37" spans="1:19" ht="18" customHeight="1" thickBot="1" x14ac:dyDescent="0.5">
      <c r="C37" s="195">
        <v>41</v>
      </c>
      <c r="D37" s="199" t="str">
        <f t="shared" si="14"/>
        <v>4101-3BR</v>
      </c>
      <c r="E37" s="201" t="str">
        <f t="shared" si="15"/>
        <v>4102- 2 BR</v>
      </c>
      <c r="F37" s="199" t="str">
        <f t="shared" si="16"/>
        <v>4103 - 2 BR</v>
      </c>
      <c r="G37" s="220"/>
      <c r="H37" s="193">
        <f t="shared" si="17"/>
        <v>4101</v>
      </c>
      <c r="I37" s="193">
        <f t="shared" si="18"/>
        <v>4102</v>
      </c>
      <c r="J37" s="193">
        <f t="shared" si="18"/>
        <v>4103</v>
      </c>
      <c r="K37" s="195">
        <v>41</v>
      </c>
      <c r="L37" s="229">
        <f>VLOOKUP(H37,Table2[[#Data],[#Totals],[Unit ]:[Price]],10,FALSE)</f>
        <v>29909663.83539648</v>
      </c>
      <c r="M37" s="229">
        <f>VLOOKUP(I37,Table2[[#Data],[#Totals],[Unit ]:[Price]],10,FALSE)</f>
        <v>26910388.466501758</v>
      </c>
      <c r="N37" s="229">
        <f>VLOOKUP(J37,Table2[[#Data],[#Totals],[Unit ]:[Price]],10,FALSE)</f>
        <v>26910388.466501758</v>
      </c>
      <c r="P37" s="221">
        <f t="shared" si="11"/>
        <v>83730440.768399999</v>
      </c>
      <c r="Q37" s="221">
        <f t="shared" si="19"/>
        <v>12615.625906112</v>
      </c>
      <c r="R37" s="221">
        <f t="shared" si="1"/>
        <v>6637.0421405595416</v>
      </c>
      <c r="S37" s="221"/>
    </row>
    <row r="38" spans="1:19" ht="18" customHeight="1" thickBot="1" x14ac:dyDescent="0.5">
      <c r="C38" s="195">
        <v>40</v>
      </c>
      <c r="D38" s="199" t="str">
        <f t="shared" si="14"/>
        <v>4001-3BR</v>
      </c>
      <c r="E38" s="201" t="str">
        <f t="shared" si="15"/>
        <v>4002- 2 BR</v>
      </c>
      <c r="F38" s="199" t="str">
        <f t="shared" si="16"/>
        <v>4003 - 2 BR</v>
      </c>
      <c r="G38" s="220"/>
      <c r="H38" s="193">
        <f t="shared" si="17"/>
        <v>4001</v>
      </c>
      <c r="I38" s="193">
        <f t="shared" si="18"/>
        <v>4002</v>
      </c>
      <c r="J38" s="193">
        <f t="shared" si="18"/>
        <v>4003</v>
      </c>
      <c r="K38" s="195">
        <v>40</v>
      </c>
      <c r="L38" s="229">
        <f>VLOOKUP(H38,Table2[[#Data],[#Totals],[Unit ]:[Price]],10,FALSE)</f>
        <v>29384932.890915841</v>
      </c>
      <c r="M38" s="229">
        <f>VLOOKUP(I38,Table2[[#Data],[#Totals],[Unit ]:[Price]],10,FALSE)</f>
        <v>26504704.218263038</v>
      </c>
      <c r="N38" s="229">
        <f>VLOOKUP(J38,Table2[[#Data],[#Totals],[Unit ]:[Price]],10,FALSE)</f>
        <v>26504704.218263038</v>
      </c>
      <c r="P38" s="221">
        <f t="shared" si="11"/>
        <v>82394341.327441916</v>
      </c>
      <c r="Q38" s="221">
        <f t="shared" si="19"/>
        <v>12615.625906112</v>
      </c>
      <c r="R38" s="221">
        <f t="shared" si="1"/>
        <v>6531.1338446968075</v>
      </c>
      <c r="S38" s="221"/>
    </row>
    <row r="39" spans="1:19" ht="18" customHeight="1" thickBot="1" x14ac:dyDescent="0.5">
      <c r="C39" s="195">
        <v>39</v>
      </c>
      <c r="D39" s="199" t="str">
        <f t="shared" si="14"/>
        <v>3901-3BR</v>
      </c>
      <c r="E39" s="201" t="str">
        <f t="shared" si="15"/>
        <v>3902- 2 BR</v>
      </c>
      <c r="F39" s="199" t="str">
        <f t="shared" si="16"/>
        <v>3903 - 2 BR</v>
      </c>
      <c r="G39" s="220"/>
      <c r="H39" s="193">
        <f t="shared" si="17"/>
        <v>3901</v>
      </c>
      <c r="I39" s="193">
        <f t="shared" si="18"/>
        <v>3902</v>
      </c>
      <c r="J39" s="193">
        <f t="shared" si="18"/>
        <v>3903</v>
      </c>
      <c r="K39" s="195">
        <v>39</v>
      </c>
      <c r="L39" s="229">
        <f>VLOOKUP(H39,Table2[[#Data],[#Totals],[Unit ]:[Price]],10,FALSE)</f>
        <v>28860201.946435198</v>
      </c>
      <c r="M39" s="229">
        <f>VLOOKUP(I39,Table2[[#Data],[#Totals],[Unit ]:[Price]],10,FALSE)</f>
        <v>26099019.970024318</v>
      </c>
      <c r="N39" s="229">
        <f>VLOOKUP(J39,Table2[[#Data],[#Totals],[Unit ]:[Price]],10,FALSE)</f>
        <v>26099019.970024318</v>
      </c>
      <c r="P39" s="221">
        <f t="shared" si="11"/>
        <v>81058241.886483833</v>
      </c>
      <c r="Q39" s="221">
        <f t="shared" si="19"/>
        <v>12615.625906112</v>
      </c>
      <c r="R39" s="221">
        <f t="shared" si="1"/>
        <v>6425.2255488340734</v>
      </c>
      <c r="S39" s="221"/>
    </row>
    <row r="40" spans="1:19" ht="18" customHeight="1" thickBot="1" x14ac:dyDescent="0.5">
      <c r="C40" s="195">
        <v>38</v>
      </c>
      <c r="D40" s="199" t="str">
        <f t="shared" si="14"/>
        <v>3801-3BR</v>
      </c>
      <c r="E40" s="201" t="str">
        <f t="shared" si="15"/>
        <v>3802- 2 BR</v>
      </c>
      <c r="F40" s="199" t="str">
        <f t="shared" si="16"/>
        <v>3803 - 2 BR</v>
      </c>
      <c r="G40" s="220"/>
      <c r="H40" s="193">
        <f t="shared" si="17"/>
        <v>3801</v>
      </c>
      <c r="I40" s="193">
        <f t="shared" si="18"/>
        <v>3802</v>
      </c>
      <c r="J40" s="193">
        <f t="shared" si="18"/>
        <v>3803</v>
      </c>
      <c r="K40" s="195">
        <v>38</v>
      </c>
      <c r="L40" s="229">
        <f>VLOOKUP(H40,Table2[[#Data],[#Totals],[Unit ]:[Price]],10,FALSE)</f>
        <v>28335471.001954559</v>
      </c>
      <c r="M40" s="229">
        <f>VLOOKUP(I40,Table2[[#Data],[#Totals],[Unit ]:[Price]],10,FALSE)</f>
        <v>25693335.721785598</v>
      </c>
      <c r="N40" s="229">
        <f>VLOOKUP(J40,Table2[[#Data],[#Totals],[Unit ]:[Price]],10,FALSE)</f>
        <v>25693335.721785598</v>
      </c>
      <c r="P40" s="221">
        <f t="shared" si="11"/>
        <v>79722142.445525765</v>
      </c>
      <c r="Q40" s="221">
        <f t="shared" si="19"/>
        <v>12615.625906112</v>
      </c>
      <c r="R40" s="221">
        <f t="shared" si="1"/>
        <v>6319.3172529713411</v>
      </c>
      <c r="S40" s="221"/>
    </row>
    <row r="41" spans="1:19" ht="18" customHeight="1" thickBot="1" x14ac:dyDescent="0.5">
      <c r="C41" s="195">
        <v>37</v>
      </c>
      <c r="D41" s="199" t="str">
        <f t="shared" si="14"/>
        <v>3701-3BR</v>
      </c>
      <c r="E41" s="201" t="str">
        <f t="shared" si="15"/>
        <v>3702- 2 BR</v>
      </c>
      <c r="F41" s="199" t="str">
        <f t="shared" si="16"/>
        <v>3703 - 2 BR</v>
      </c>
      <c r="G41" s="220"/>
      <c r="H41" s="193">
        <f t="shared" si="17"/>
        <v>3701</v>
      </c>
      <c r="I41" s="193">
        <f t="shared" si="18"/>
        <v>3702</v>
      </c>
      <c r="J41" s="193">
        <f t="shared" si="18"/>
        <v>3703</v>
      </c>
      <c r="K41" s="195">
        <v>37</v>
      </c>
      <c r="L41" s="229">
        <f>VLOOKUP(H41,Table2[[#Data],[#Totals],[Unit ]:[Price]],10,FALSE)</f>
        <v>27810740.05747392</v>
      </c>
      <c r="M41" s="229">
        <f>VLOOKUP(I41,Table2[[#Data],[#Totals],[Unit ]:[Price]],10,FALSE)</f>
        <v>25287651.473546878</v>
      </c>
      <c r="N41" s="229">
        <f>VLOOKUP(J41,Table2[[#Data],[#Totals],[Unit ]:[Price]],10,FALSE)</f>
        <v>25287651.473546878</v>
      </c>
      <c r="P41" s="221">
        <f t="shared" si="11"/>
        <v>78386043.004567683</v>
      </c>
      <c r="Q41" s="221">
        <f t="shared" si="19"/>
        <v>12615.625906112</v>
      </c>
      <c r="R41" s="221">
        <f t="shared" si="1"/>
        <v>6213.408957108607</v>
      </c>
      <c r="S41" s="221"/>
    </row>
    <row r="42" spans="1:19" ht="18" customHeight="1" thickBot="1" x14ac:dyDescent="0.5">
      <c r="C42" s="195">
        <v>36</v>
      </c>
      <c r="D42" s="199" t="str">
        <f t="shared" si="14"/>
        <v>3601-3BR</v>
      </c>
      <c r="E42" s="201" t="str">
        <f t="shared" si="15"/>
        <v>3602- 2 BR</v>
      </c>
      <c r="F42" s="199" t="str">
        <f t="shared" si="16"/>
        <v>3603 - 2 BR</v>
      </c>
      <c r="G42" s="220"/>
      <c r="H42" s="193">
        <f t="shared" si="17"/>
        <v>3601</v>
      </c>
      <c r="I42" s="193">
        <f t="shared" si="18"/>
        <v>3602</v>
      </c>
      <c r="J42" s="193">
        <f t="shared" si="18"/>
        <v>3603</v>
      </c>
      <c r="K42" s="195">
        <v>36</v>
      </c>
      <c r="L42" s="229">
        <f>VLOOKUP(H42,Table2[[#Data],[#Totals],[Unit ]:[Price]],10,FALSE)</f>
        <v>27286009.112993278</v>
      </c>
      <c r="M42" s="229">
        <f>VLOOKUP(I42,Table2[[#Data],[#Totals],[Unit ]:[Price]],10,FALSE)</f>
        <v>24881967.225308158</v>
      </c>
      <c r="N42" s="229">
        <f>VLOOKUP(J42,Table2[[#Data],[#Totals],[Unit ]:[Price]],10,FALSE)</f>
        <v>24881967.225308158</v>
      </c>
      <c r="P42" s="221">
        <f t="shared" si="11"/>
        <v>77049943.5636096</v>
      </c>
      <c r="Q42" s="221">
        <f t="shared" si="19"/>
        <v>12615.625906112</v>
      </c>
      <c r="R42" s="221">
        <f t="shared" si="1"/>
        <v>6107.5006612458728</v>
      </c>
      <c r="S42" s="221"/>
    </row>
    <row r="43" spans="1:19" ht="18" customHeight="1" thickBot="1" x14ac:dyDescent="0.5">
      <c r="C43" s="195">
        <v>35</v>
      </c>
      <c r="D43" s="199" t="str">
        <f t="shared" si="14"/>
        <v>3501-3BR</v>
      </c>
      <c r="E43" s="201" t="str">
        <f t="shared" si="15"/>
        <v>3502- 2 BR</v>
      </c>
      <c r="F43" s="199" t="str">
        <f t="shared" si="16"/>
        <v>3503 - 2 BR</v>
      </c>
      <c r="G43" s="220"/>
      <c r="H43" s="193">
        <f t="shared" si="17"/>
        <v>3501</v>
      </c>
      <c r="I43" s="193">
        <f t="shared" si="18"/>
        <v>3502</v>
      </c>
      <c r="J43" s="193">
        <f t="shared" si="18"/>
        <v>3503</v>
      </c>
      <c r="K43" s="195">
        <v>35</v>
      </c>
      <c r="L43" s="229">
        <f>VLOOKUP(H43,Table2[[#Data],[#Totals],[Unit ]:[Price]],10,FALSE)</f>
        <v>26761278.168512639</v>
      </c>
      <c r="M43" s="229">
        <f>VLOOKUP(I43,Table2[[#Data],[#Totals],[Unit ]:[Price]],10,FALSE)</f>
        <v>24476282.977069438</v>
      </c>
      <c r="N43" s="229">
        <f>VLOOKUP(J43,Table2[[#Data],[#Totals],[Unit ]:[Price]],10,FALSE)</f>
        <v>24476282.977069438</v>
      </c>
      <c r="P43" s="221">
        <f t="shared" si="11"/>
        <v>75713844.122651517</v>
      </c>
      <c r="Q43" s="221">
        <f t="shared" si="19"/>
        <v>12615.625906112</v>
      </c>
      <c r="R43" s="221">
        <f t="shared" si="1"/>
        <v>6001.5923653831387</v>
      </c>
      <c r="S43" s="221"/>
    </row>
    <row r="44" spans="1:19" ht="18" customHeight="1" thickBot="1" x14ac:dyDescent="0.5">
      <c r="A44" s="318" t="s">
        <v>191</v>
      </c>
      <c r="B44" s="319"/>
      <c r="C44" s="200">
        <v>34</v>
      </c>
      <c r="D44" s="199" t="str">
        <f>C44&amp;"01"&amp;"-3BR"</f>
        <v>3401-3BR</v>
      </c>
      <c r="E44" s="201" t="str">
        <f>C44&amp;"02- 2 BR"</f>
        <v>3402- 2 BR</v>
      </c>
      <c r="F44" s="199" t="str">
        <f>C44&amp;"03 - 2 BR"</f>
        <v>3403 - 2 BR</v>
      </c>
      <c r="G44" s="220"/>
      <c r="H44" s="193">
        <f>H45+100</f>
        <v>3401</v>
      </c>
      <c r="I44" s="193">
        <f>I45+100</f>
        <v>3402</v>
      </c>
      <c r="J44" s="193">
        <f>J45+100</f>
        <v>3403</v>
      </c>
      <c r="K44" s="200">
        <v>34</v>
      </c>
      <c r="L44" s="229">
        <f>VLOOKUP(H44,Table2[[#Data],[#Totals],[Unit ]:[Price]],10,FALSE)</f>
        <v>26236547.224032</v>
      </c>
      <c r="M44" s="229">
        <f>VLOOKUP(I44,Table2[[#Data],[#Totals],[Unit ]:[Price]],10,FALSE)</f>
        <v>24070598.728830718</v>
      </c>
      <c r="N44" s="229">
        <f>VLOOKUP(J44,Table2[[#Data],[#Totals],[Unit ]:[Price]],10,FALSE)</f>
        <v>24070598.728830718</v>
      </c>
      <c r="P44" s="221">
        <f t="shared" si="11"/>
        <v>74377744.681693435</v>
      </c>
      <c r="Q44" s="221">
        <f t="shared" si="19"/>
        <v>12615.625906112</v>
      </c>
      <c r="R44" s="221">
        <f t="shared" si="1"/>
        <v>5895.6840695204046</v>
      </c>
      <c r="S44" s="221"/>
    </row>
    <row r="45" spans="1:19" ht="18" customHeight="1" thickBot="1" x14ac:dyDescent="0.5">
      <c r="A45" s="320" t="s">
        <v>194</v>
      </c>
      <c r="B45" s="321"/>
      <c r="C45" s="200">
        <v>33</v>
      </c>
      <c r="D45" s="199" t="s">
        <v>290</v>
      </c>
      <c r="E45" s="201" t="s">
        <v>289</v>
      </c>
      <c r="F45" s="199" t="s">
        <v>288</v>
      </c>
      <c r="G45" s="222"/>
      <c r="H45" s="193">
        <v>3301</v>
      </c>
      <c r="I45" s="193">
        <v>3302</v>
      </c>
      <c r="J45" s="193">
        <v>3303</v>
      </c>
      <c r="K45" s="200">
        <v>33</v>
      </c>
      <c r="L45" s="229">
        <f>VLOOKUP(H45,Table2[[#Data],[#Totals],[Unit ]:[Price]],10,FALSE)</f>
        <v>25711816.279551361</v>
      </c>
      <c r="M45" s="229">
        <f>VLOOKUP(I45,Table2[[#Data],[#Totals],[Unit ]:[Price]],10,FALSE)</f>
        <v>23664914.480591998</v>
      </c>
      <c r="N45" s="229">
        <f>VLOOKUP(J45,Table2[[#Data],[#Totals],[Unit ]:[Price]],10,FALSE)</f>
        <v>23664914.480591998</v>
      </c>
      <c r="P45" s="221">
        <f t="shared" si="11"/>
        <v>73041645.240735352</v>
      </c>
      <c r="Q45" s="221">
        <f t="shared" si="19"/>
        <v>12615.625906112</v>
      </c>
      <c r="R45" s="221">
        <f t="shared" si="1"/>
        <v>5789.7757736576705</v>
      </c>
      <c r="S45" s="221"/>
    </row>
    <row r="46" spans="1:19" ht="18" customHeight="1" thickBot="1" x14ac:dyDescent="0.5">
      <c r="A46" s="324" t="s">
        <v>197</v>
      </c>
      <c r="B46" s="325"/>
      <c r="C46" s="195">
        <v>32</v>
      </c>
      <c r="D46" s="315" t="s">
        <v>198</v>
      </c>
      <c r="E46" s="316"/>
      <c r="F46" s="317"/>
      <c r="G46" s="218"/>
      <c r="K46" s="195">
        <v>32</v>
      </c>
      <c r="L46" s="315" t="s">
        <v>198</v>
      </c>
      <c r="M46" s="316"/>
      <c r="N46" s="317"/>
      <c r="P46" s="219"/>
      <c r="Q46" s="219"/>
      <c r="R46" s="219"/>
      <c r="S46" s="219"/>
    </row>
    <row r="47" spans="1:19" ht="18" customHeight="1" thickBot="1" x14ac:dyDescent="0.5">
      <c r="C47" s="195">
        <v>31</v>
      </c>
      <c r="D47" s="315" t="s">
        <v>199</v>
      </c>
      <c r="E47" s="316"/>
      <c r="F47" s="317"/>
      <c r="G47" s="218"/>
      <c r="K47" s="195">
        <v>31</v>
      </c>
      <c r="L47" s="315" t="s">
        <v>199</v>
      </c>
      <c r="M47" s="316"/>
      <c r="N47" s="317"/>
      <c r="P47" s="219"/>
      <c r="Q47" s="219"/>
      <c r="R47" s="219"/>
      <c r="S47" s="219"/>
    </row>
    <row r="48" spans="1:19" ht="18" customHeight="1" thickBot="1" x14ac:dyDescent="0.5">
      <c r="C48" s="195">
        <v>30</v>
      </c>
      <c r="D48" s="199" t="s">
        <v>200</v>
      </c>
      <c r="E48" s="201" t="s">
        <v>201</v>
      </c>
      <c r="F48" s="199" t="s">
        <v>202</v>
      </c>
      <c r="G48" s="223"/>
      <c r="H48" s="193">
        <f t="shared" ref="H48:J65" si="20">H49+100</f>
        <v>3001</v>
      </c>
      <c r="I48" s="193">
        <f t="shared" si="20"/>
        <v>3002</v>
      </c>
      <c r="J48" s="193">
        <f t="shared" si="20"/>
        <v>3003</v>
      </c>
      <c r="K48" s="195">
        <v>30</v>
      </c>
      <c r="L48" s="229">
        <f>VLOOKUP(H48,Table2[[#Data],[#Totals],[Unit ]:[Price]],10,FALSE)</f>
        <v>23096907</v>
      </c>
      <c r="M48" s="197">
        <f>VLOOKUP(I48,Table2[[#Data],[#Totals],[Unit ]:[Price]],10,FALSE)</f>
        <v>23259230.232353278</v>
      </c>
      <c r="N48" s="229">
        <f>VLOOKUP(J48,Table2[[#Data],[#Totals],[Unit ]:[Price]],10,FALSE)</f>
        <v>23259230.232353278</v>
      </c>
      <c r="P48" s="221">
        <f t="shared" ref="P48:P67" si="21">L48+M48+N48</f>
        <v>69615367.464706555</v>
      </c>
      <c r="Q48" s="221">
        <f>Q45</f>
        <v>12615.625906112</v>
      </c>
      <c r="R48" s="221">
        <f t="shared" ref="R48:R75" si="22">P48/Q48</f>
        <v>5518.1857787158542</v>
      </c>
      <c r="S48" s="221"/>
    </row>
    <row r="49" spans="3:19" ht="18" customHeight="1" thickBot="1" x14ac:dyDescent="0.5">
      <c r="C49" s="195">
        <v>29</v>
      </c>
      <c r="D49" s="198" t="s">
        <v>203</v>
      </c>
      <c r="E49" s="201" t="s">
        <v>204</v>
      </c>
      <c r="F49" s="201" t="s">
        <v>205</v>
      </c>
      <c r="G49" s="224"/>
      <c r="H49" s="193">
        <f t="shared" si="20"/>
        <v>2901</v>
      </c>
      <c r="I49" s="193">
        <f t="shared" si="20"/>
        <v>2902</v>
      </c>
      <c r="J49" s="193">
        <f t="shared" si="20"/>
        <v>2903</v>
      </c>
      <c r="K49" s="195">
        <v>29</v>
      </c>
      <c r="L49" s="198">
        <f>VLOOKUP(H49,Table2[[#Data],[#Totals],[Unit ]:[Price]],10,FALSE)</f>
        <v>23036263</v>
      </c>
      <c r="M49" s="201">
        <f>VLOOKUP(I49,Table2[[#Data],[#Totals],[Unit ]:[Price]],10,FALSE)</f>
        <v>22853545.984114558</v>
      </c>
      <c r="N49" s="201">
        <f>VLOOKUP(J49,Table2[[#Data],[#Totals],[Unit ]:[Price]],10,FALSE)</f>
        <v>22853545.984114558</v>
      </c>
      <c r="P49" s="221">
        <f t="shared" si="21"/>
        <v>68743354.968229115</v>
      </c>
      <c r="Q49" s="221">
        <f>Q48</f>
        <v>12615.625906112</v>
      </c>
      <c r="R49" s="221">
        <f t="shared" si="22"/>
        <v>5449.0641589906718</v>
      </c>
      <c r="S49" s="221"/>
    </row>
    <row r="50" spans="3:19" ht="18" customHeight="1" thickBot="1" x14ac:dyDescent="0.5">
      <c r="C50" s="195">
        <v>28</v>
      </c>
      <c r="D50" s="198" t="s">
        <v>206</v>
      </c>
      <c r="E50" s="198" t="s">
        <v>207</v>
      </c>
      <c r="F50" s="201" t="s">
        <v>208</v>
      </c>
      <c r="G50" s="224"/>
      <c r="H50" s="193">
        <f t="shared" si="20"/>
        <v>2801</v>
      </c>
      <c r="I50" s="193">
        <f t="shared" si="20"/>
        <v>2802</v>
      </c>
      <c r="J50" s="193">
        <f t="shared" si="20"/>
        <v>2803</v>
      </c>
      <c r="K50" s="195">
        <v>28</v>
      </c>
      <c r="L50" s="198">
        <f>VLOOKUP(H50,Table2[[#Data],[#Totals],[Unit ]:[Price]],10,FALSE)</f>
        <v>23612892.501628798</v>
      </c>
      <c r="M50" s="198">
        <f>VLOOKUP(I50,Table2[[#Data],[#Totals],[Unit ]:[Price]],10,FALSE)</f>
        <v>20554668.577428479</v>
      </c>
      <c r="N50" s="201">
        <f>VLOOKUP(J50,Table2[[#Data],[#Totals],[Unit ]:[Price]],10,FALSE)</f>
        <v>20554668.577428479</v>
      </c>
      <c r="P50" s="221">
        <f t="shared" si="21"/>
        <v>64722229.656485751</v>
      </c>
      <c r="Q50" s="221">
        <f t="shared" ref="Q50:Q75" si="23">Q49</f>
        <v>12615.625906112</v>
      </c>
      <c r="R50" s="221">
        <f t="shared" si="22"/>
        <v>5130.3225173417059</v>
      </c>
      <c r="S50" s="221"/>
    </row>
    <row r="51" spans="3:19" ht="18" customHeight="1" thickBot="1" x14ac:dyDescent="0.5">
      <c r="C51" s="195">
        <v>27</v>
      </c>
      <c r="D51" s="198" t="s">
        <v>209</v>
      </c>
      <c r="E51" s="201" t="s">
        <v>210</v>
      </c>
      <c r="F51" s="201" t="s">
        <v>211</v>
      </c>
      <c r="G51" s="224"/>
      <c r="H51" s="193">
        <f t="shared" si="20"/>
        <v>2701</v>
      </c>
      <c r="I51" s="193">
        <f t="shared" si="20"/>
        <v>2702</v>
      </c>
      <c r="J51" s="193">
        <f t="shared" si="20"/>
        <v>2703</v>
      </c>
      <c r="K51" s="195">
        <v>27</v>
      </c>
      <c r="L51" s="198">
        <f>VLOOKUP(H51,Table2[[#Data],[#Totals],[Unit ]:[Price]],10,FALSE)</f>
        <v>23263071.871975038</v>
      </c>
      <c r="M51" s="201">
        <f>VLOOKUP(I51,Table2[[#Data],[#Totals],[Unit ]:[Price]],10,FALSE)</f>
        <v>22042177.487637118</v>
      </c>
      <c r="N51" s="201">
        <f>VLOOKUP(J51,Table2[[#Data],[#Totals],[Unit ]:[Price]],10,FALSE)</f>
        <v>22042177.487637118</v>
      </c>
      <c r="P51" s="221">
        <f t="shared" si="21"/>
        <v>67347426.847249269</v>
      </c>
      <c r="Q51" s="221">
        <f t="shared" si="23"/>
        <v>12615.625906112</v>
      </c>
      <c r="R51" s="221">
        <f t="shared" si="22"/>
        <v>5338.413436516129</v>
      </c>
      <c r="S51" s="221"/>
    </row>
    <row r="52" spans="3:19" ht="18" customHeight="1" thickBot="1" x14ac:dyDescent="0.5">
      <c r="C52" s="195">
        <v>26</v>
      </c>
      <c r="D52" s="198" t="s">
        <v>212</v>
      </c>
      <c r="E52" s="201" t="s">
        <v>213</v>
      </c>
      <c r="F52" s="201" t="s">
        <v>214</v>
      </c>
      <c r="G52" s="224"/>
      <c r="H52" s="193">
        <f t="shared" si="20"/>
        <v>2601</v>
      </c>
      <c r="I52" s="193">
        <f t="shared" si="20"/>
        <v>2602</v>
      </c>
      <c r="J52" s="193">
        <f t="shared" si="20"/>
        <v>2603</v>
      </c>
      <c r="K52" s="195">
        <v>26</v>
      </c>
      <c r="L52" s="198">
        <f>VLOOKUP(H52,Table2[[#Data],[#Totals],[Unit ]:[Price]],10,FALSE)</f>
        <v>22913251</v>
      </c>
      <c r="M52" s="201">
        <f>VLOOKUP(I52,Table2[[#Data],[#Totals],[Unit ]:[Price]],10,FALSE)</f>
        <v>21636493.239398398</v>
      </c>
      <c r="N52" s="201">
        <f>VLOOKUP(J52,Table2[[#Data],[#Totals],[Unit ]:[Price]],10,FALSE)</f>
        <v>21636493.239398398</v>
      </c>
      <c r="P52" s="221">
        <f t="shared" si="21"/>
        <v>66186237.478796795</v>
      </c>
      <c r="Q52" s="221">
        <f t="shared" si="23"/>
        <v>12615.625906112</v>
      </c>
      <c r="R52" s="221">
        <f t="shared" si="22"/>
        <v>5246.3696982906713</v>
      </c>
      <c r="S52" s="221"/>
    </row>
    <row r="53" spans="3:19" ht="18" customHeight="1" thickBot="1" x14ac:dyDescent="0.5">
      <c r="C53" s="195">
        <v>25</v>
      </c>
      <c r="D53" s="198" t="s">
        <v>215</v>
      </c>
      <c r="E53" s="201" t="s">
        <v>216</v>
      </c>
      <c r="F53" s="201" t="s">
        <v>217</v>
      </c>
      <c r="G53" s="224"/>
      <c r="H53" s="193">
        <f t="shared" si="20"/>
        <v>2501</v>
      </c>
      <c r="I53" s="193">
        <f t="shared" si="20"/>
        <v>2502</v>
      </c>
      <c r="J53" s="193">
        <f t="shared" si="20"/>
        <v>2503</v>
      </c>
      <c r="K53" s="195">
        <v>25</v>
      </c>
      <c r="L53" s="198">
        <f>VLOOKUP(H53,Table2[[#Data],[#Totals],[Unit ]:[Price]],10,FALSE)</f>
        <v>27810740.05747392</v>
      </c>
      <c r="M53" s="201">
        <f>VLOOKUP(I53,Table2[[#Data],[#Totals],[Unit ]:[Price]],10,FALSE)</f>
        <v>21230808.991159678</v>
      </c>
      <c r="N53" s="201">
        <f>VLOOKUP(J53,Table2[[#Data],[#Totals],[Unit ]:[Price]],10,FALSE)</f>
        <v>21230808.991159678</v>
      </c>
      <c r="P53" s="221">
        <f t="shared" si="21"/>
        <v>70272358.039793283</v>
      </c>
      <c r="Q53" s="221">
        <f t="shared" si="23"/>
        <v>12615.625906112</v>
      </c>
      <c r="R53" s="221">
        <f t="shared" si="22"/>
        <v>5570.2633038403455</v>
      </c>
      <c r="S53" s="221"/>
    </row>
    <row r="54" spans="3:19" ht="18" customHeight="1" thickBot="1" x14ac:dyDescent="0.5">
      <c r="C54" s="195">
        <v>24</v>
      </c>
      <c r="D54" s="198" t="s">
        <v>218</v>
      </c>
      <c r="E54" s="201" t="s">
        <v>219</v>
      </c>
      <c r="F54" s="201" t="s">
        <v>220</v>
      </c>
      <c r="G54" s="224"/>
      <c r="H54" s="193">
        <f t="shared" si="20"/>
        <v>2401</v>
      </c>
      <c r="I54" s="193">
        <f t="shared" si="20"/>
        <v>2402</v>
      </c>
      <c r="J54" s="193">
        <f t="shared" si="20"/>
        <v>2403</v>
      </c>
      <c r="K54" s="195">
        <v>24</v>
      </c>
      <c r="L54" s="198">
        <f>VLOOKUP(H54,Table2[[#Data],[#Totals],[Unit ]:[Price]],10,FALSE)</f>
        <v>26211278</v>
      </c>
      <c r="M54" s="201">
        <f>VLOOKUP(I54,Table2[[#Data],[#Totals],[Unit ]:[Price]],10,FALSE)</f>
        <v>20825124.742920958</v>
      </c>
      <c r="N54" s="201">
        <f>VLOOKUP(J54,Table2[[#Data],[#Totals],[Unit ]:[Price]],10,FALSE)</f>
        <v>20825124.742920958</v>
      </c>
      <c r="P54" s="221">
        <f t="shared" si="21"/>
        <v>67861527.485841915</v>
      </c>
      <c r="Q54" s="221">
        <f t="shared" si="23"/>
        <v>12615.625906112</v>
      </c>
      <c r="R54" s="221">
        <f t="shared" si="22"/>
        <v>5379.1645369703347</v>
      </c>
      <c r="S54" s="221"/>
    </row>
    <row r="55" spans="3:19" ht="18" customHeight="1" thickBot="1" x14ac:dyDescent="0.5">
      <c r="C55" s="195">
        <v>23</v>
      </c>
      <c r="D55" s="201" t="s">
        <v>221</v>
      </c>
      <c r="E55" s="201" t="s">
        <v>222</v>
      </c>
      <c r="F55" s="201" t="s">
        <v>223</v>
      </c>
      <c r="G55" s="224"/>
      <c r="H55" s="193">
        <f t="shared" si="20"/>
        <v>2301</v>
      </c>
      <c r="I55" s="193">
        <f t="shared" si="20"/>
        <v>2302</v>
      </c>
      <c r="J55" s="193">
        <f t="shared" si="20"/>
        <v>2303</v>
      </c>
      <c r="K55" s="195">
        <v>23</v>
      </c>
      <c r="L55" s="201">
        <f>VLOOKUP(H55,Table2[[#Data],[#Totals],[Unit ]:[Price]],10,FALSE)</f>
        <v>25187085.335070718</v>
      </c>
      <c r="M55" s="201">
        <f>VLOOKUP(I55,Table2[[#Data],[#Totals],[Unit ]:[Price]],10,FALSE)</f>
        <v>20419440.494682238</v>
      </c>
      <c r="N55" s="201">
        <f>VLOOKUP(J55,Table2[[#Data],[#Totals],[Unit ]:[Price]],10,FALSE)</f>
        <v>20419440.494682238</v>
      </c>
      <c r="P55" s="221">
        <f t="shared" si="21"/>
        <v>66025966.324435189</v>
      </c>
      <c r="Q55" s="221">
        <f t="shared" si="23"/>
        <v>12615.625906112</v>
      </c>
      <c r="R55" s="221">
        <f t="shared" si="22"/>
        <v>5233.6655205071538</v>
      </c>
      <c r="S55" s="221"/>
    </row>
    <row r="56" spans="3:19" ht="18" customHeight="1" thickBot="1" x14ac:dyDescent="0.5">
      <c r="C56" s="195">
        <v>22</v>
      </c>
      <c r="D56" s="201" t="s">
        <v>224</v>
      </c>
      <c r="E56" s="201" t="s">
        <v>225</v>
      </c>
      <c r="F56" s="201" t="s">
        <v>226</v>
      </c>
      <c r="G56" s="224"/>
      <c r="H56" s="193">
        <f t="shared" si="20"/>
        <v>2201</v>
      </c>
      <c r="I56" s="193">
        <f t="shared" si="20"/>
        <v>2202</v>
      </c>
      <c r="J56" s="193">
        <f t="shared" si="20"/>
        <v>2203</v>
      </c>
      <c r="K56" s="195">
        <v>22</v>
      </c>
      <c r="L56" s="201">
        <f>VLOOKUP(H56,Table2[[#Data],[#Totals],[Unit ]:[Price]],10,FALSE)</f>
        <v>24662354.390590079</v>
      </c>
      <c r="M56" s="201">
        <f>VLOOKUP(I56,Table2[[#Data],[#Totals],[Unit ]:[Price]],10,FALSE)</f>
        <v>20013756.246443518</v>
      </c>
      <c r="N56" s="201">
        <f>VLOOKUP(J56,Table2[[#Data],[#Totals],[Unit ]:[Price]],10,FALSE)</f>
        <v>20013756.246443518</v>
      </c>
      <c r="P56" s="221">
        <f t="shared" si="21"/>
        <v>64689866.883477114</v>
      </c>
      <c r="Q56" s="221">
        <f t="shared" si="23"/>
        <v>12615.625906112</v>
      </c>
      <c r="R56" s="221">
        <f t="shared" si="22"/>
        <v>5127.7572246444197</v>
      </c>
      <c r="S56" s="221"/>
    </row>
    <row r="57" spans="3:19" ht="18" customHeight="1" thickBot="1" x14ac:dyDescent="0.5">
      <c r="C57" s="195">
        <v>21</v>
      </c>
      <c r="D57" s="201" t="s">
        <v>227</v>
      </c>
      <c r="E57" s="198" t="s">
        <v>228</v>
      </c>
      <c r="F57" s="201" t="s">
        <v>229</v>
      </c>
      <c r="G57" s="224"/>
      <c r="H57" s="193">
        <f t="shared" si="20"/>
        <v>2101</v>
      </c>
      <c r="I57" s="193">
        <f t="shared" si="20"/>
        <v>2102</v>
      </c>
      <c r="J57" s="193">
        <f t="shared" si="20"/>
        <v>2103</v>
      </c>
      <c r="K57" s="195">
        <v>21</v>
      </c>
      <c r="L57" s="201">
        <f>VLOOKUP(H57,Table2[[#Data],[#Totals],[Unit ]:[Price]],10,FALSE)</f>
        <v>24137623.44610944</v>
      </c>
      <c r="M57" s="198">
        <f>VLOOKUP(I57,Table2[[#Data],[#Totals],[Unit ]:[Price]],10,FALSE)</f>
        <v>16633054</v>
      </c>
      <c r="N57" s="201">
        <f>VLOOKUP(J57,Table2[[#Data],[#Totals],[Unit ]:[Price]],10,FALSE)</f>
        <v>19202387.749966078</v>
      </c>
      <c r="P57" s="221">
        <f t="shared" si="21"/>
        <v>59973065.196075521</v>
      </c>
      <c r="Q57" s="221">
        <f t="shared" si="23"/>
        <v>12615.625906112</v>
      </c>
      <c r="R57" s="221">
        <f t="shared" si="22"/>
        <v>4753.8715591606006</v>
      </c>
      <c r="S57" s="221"/>
    </row>
    <row r="58" spans="3:19" ht="18" customHeight="1" thickBot="1" x14ac:dyDescent="0.5">
      <c r="C58" s="195">
        <v>20</v>
      </c>
      <c r="D58" s="198" t="s">
        <v>230</v>
      </c>
      <c r="E58" s="198" t="s">
        <v>231</v>
      </c>
      <c r="F58" s="198" t="s">
        <v>232</v>
      </c>
      <c r="G58" s="225"/>
      <c r="H58" s="193">
        <f t="shared" si="20"/>
        <v>2001</v>
      </c>
      <c r="I58" s="193">
        <f t="shared" si="20"/>
        <v>2002</v>
      </c>
      <c r="J58" s="193">
        <f t="shared" si="20"/>
        <v>2003</v>
      </c>
      <c r="K58" s="195">
        <v>20</v>
      </c>
      <c r="L58" s="198">
        <f>VLOOKUP(H58,Table2[[#Data],[#Totals],[Unit ]:[Price]],10,FALSE)</f>
        <v>20814327</v>
      </c>
      <c r="M58" s="198">
        <f>VLOOKUP(I58,Table2[[#Data],[#Totals],[Unit ]:[Price]],10,FALSE)</f>
        <v>14500000</v>
      </c>
      <c r="N58" s="198">
        <f>VLOOKUP(J58,Table2[[#Data],[#Totals],[Unit ]:[Price]],10,FALSE)</f>
        <v>16092142</v>
      </c>
      <c r="P58" s="221">
        <f t="shared" si="21"/>
        <v>51406469</v>
      </c>
      <c r="Q58" s="221">
        <f t="shared" si="23"/>
        <v>12615.625906112</v>
      </c>
      <c r="R58" s="221">
        <f t="shared" si="22"/>
        <v>4074.8250925144084</v>
      </c>
      <c r="S58" s="221"/>
    </row>
    <row r="59" spans="3:19" ht="18" customHeight="1" thickBot="1" x14ac:dyDescent="0.5">
      <c r="C59" s="195">
        <v>19</v>
      </c>
      <c r="D59" s="201" t="s">
        <v>233</v>
      </c>
      <c r="E59" s="201" t="s">
        <v>234</v>
      </c>
      <c r="F59" s="201" t="s">
        <v>235</v>
      </c>
      <c r="G59" s="224"/>
      <c r="H59" s="193">
        <f t="shared" si="20"/>
        <v>1901</v>
      </c>
      <c r="I59" s="193">
        <f t="shared" si="20"/>
        <v>1902</v>
      </c>
      <c r="J59" s="193">
        <f t="shared" si="20"/>
        <v>1903</v>
      </c>
      <c r="K59" s="195">
        <v>19</v>
      </c>
      <c r="L59" s="201">
        <f>VLOOKUP(H59,Table2[[#Data],[#Totals],[Unit ]:[Price]],10,FALSE)</f>
        <v>23088161.557148159</v>
      </c>
      <c r="M59" s="201">
        <f>VLOOKUP(I59,Table2[[#Data],[#Totals],[Unit ]:[Price]],10,FALSE)</f>
        <v>18796703.501727358</v>
      </c>
      <c r="N59" s="201">
        <f>VLOOKUP(J59,Table2[[#Data],[#Totals],[Unit ]:[Price]],10,FALSE)</f>
        <v>18796703.501727358</v>
      </c>
      <c r="P59" s="221">
        <f t="shared" si="21"/>
        <v>60681568.560602874</v>
      </c>
      <c r="Q59" s="221">
        <f t="shared" si="23"/>
        <v>12615.625906112</v>
      </c>
      <c r="R59" s="221">
        <f t="shared" si="22"/>
        <v>4810.0323370562182</v>
      </c>
      <c r="S59" s="221"/>
    </row>
    <row r="60" spans="3:19" ht="18" customHeight="1" thickBot="1" x14ac:dyDescent="0.5">
      <c r="C60" s="195">
        <v>18</v>
      </c>
      <c r="D60" s="201" t="s">
        <v>236</v>
      </c>
      <c r="E60" s="201" t="s">
        <v>237</v>
      </c>
      <c r="F60" s="201" t="s">
        <v>238</v>
      </c>
      <c r="G60" s="224"/>
      <c r="H60" s="193">
        <f t="shared" si="20"/>
        <v>1801</v>
      </c>
      <c r="I60" s="193">
        <f t="shared" si="20"/>
        <v>1802</v>
      </c>
      <c r="J60" s="193">
        <f t="shared" si="20"/>
        <v>1803</v>
      </c>
      <c r="K60" s="195">
        <v>18</v>
      </c>
      <c r="L60" s="201">
        <f>VLOOKUP(H60,Table2[[#Data],[#Totals],[Unit ]:[Price]],10,FALSE)</f>
        <v>22563430.61266752</v>
      </c>
      <c r="M60" s="201">
        <f>VLOOKUP(I60,Table2[[#Data],[#Totals],[Unit ]:[Price]],10,FALSE)</f>
        <v>18391019.253488638</v>
      </c>
      <c r="N60" s="201">
        <f>VLOOKUP(J60,Table2[[#Data],[#Totals],[Unit ]:[Price]],10,FALSE)</f>
        <v>18391019.253488638</v>
      </c>
      <c r="P60" s="221">
        <f t="shared" si="21"/>
        <v>59345469.119644798</v>
      </c>
      <c r="Q60" s="221">
        <f t="shared" si="23"/>
        <v>12615.625906112</v>
      </c>
      <c r="R60" s="221">
        <f t="shared" si="22"/>
        <v>4704.124041193485</v>
      </c>
      <c r="S60" s="221"/>
    </row>
    <row r="61" spans="3:19" ht="18" customHeight="1" thickBot="1" x14ac:dyDescent="0.5">
      <c r="C61" s="195">
        <v>17</v>
      </c>
      <c r="D61" s="198" t="s">
        <v>239</v>
      </c>
      <c r="E61" s="198" t="s">
        <v>240</v>
      </c>
      <c r="F61" s="201" t="s">
        <v>241</v>
      </c>
      <c r="G61" s="224"/>
      <c r="H61" s="193">
        <f t="shared" si="20"/>
        <v>1701</v>
      </c>
      <c r="I61" s="193">
        <f t="shared" si="20"/>
        <v>1702</v>
      </c>
      <c r="J61" s="193">
        <f t="shared" si="20"/>
        <v>1703</v>
      </c>
      <c r="K61" s="195">
        <v>17</v>
      </c>
      <c r="L61" s="198">
        <f>VLOOKUP(H61,Table2[[#Data],[#Totals],[Unit ]:[Price]],10,FALSE)</f>
        <v>19250000</v>
      </c>
      <c r="M61" s="198">
        <f>VLOOKUP(I61,Table2[[#Data],[#Totals],[Unit ]:[Price]],10,FALSE)</f>
        <v>14986912</v>
      </c>
      <c r="N61" s="201">
        <f>VLOOKUP(J61,Table2[[#Data],[#Totals],[Unit ]:[Price]],10,FALSE)</f>
        <v>17985335.005249918</v>
      </c>
      <c r="P61" s="221">
        <f t="shared" si="21"/>
        <v>52222247.005249918</v>
      </c>
      <c r="Q61" s="221">
        <f t="shared" si="23"/>
        <v>12615.625906112</v>
      </c>
      <c r="R61" s="221">
        <f t="shared" si="22"/>
        <v>4139.4891853878898</v>
      </c>
      <c r="S61" s="221"/>
    </row>
    <row r="62" spans="3:19" ht="18" customHeight="1" thickBot="1" x14ac:dyDescent="0.5">
      <c r="C62" s="195">
        <v>16</v>
      </c>
      <c r="D62" s="198" t="s">
        <v>242</v>
      </c>
      <c r="E62" s="201" t="s">
        <v>243</v>
      </c>
      <c r="F62" s="201" t="s">
        <v>244</v>
      </c>
      <c r="G62" s="224"/>
      <c r="H62" s="193">
        <f t="shared" si="20"/>
        <v>1601</v>
      </c>
      <c r="I62" s="193">
        <f t="shared" si="20"/>
        <v>1602</v>
      </c>
      <c r="J62" s="193">
        <f t="shared" si="20"/>
        <v>1603</v>
      </c>
      <c r="K62" s="195">
        <v>16</v>
      </c>
      <c r="L62" s="198">
        <f>VLOOKUP(H62,Table2[[#Data],[#Totals],[Unit ]:[Price]],10,FALSE)</f>
        <v>19415044.945783678</v>
      </c>
      <c r="M62" s="201">
        <f>VLOOKUP(I62,Table2[[#Data],[#Totals],[Unit ]:[Price]],10,FALSE)</f>
        <v>17579650.757011198</v>
      </c>
      <c r="N62" s="201">
        <f>VLOOKUP(J62,Table2[[#Data],[#Totals],[Unit ]:[Price]],10,FALSE)</f>
        <v>17579650.757011198</v>
      </c>
      <c r="P62" s="221">
        <f t="shared" si="21"/>
        <v>54574346.459806077</v>
      </c>
      <c r="Q62" s="221">
        <f t="shared" si="23"/>
        <v>12615.625906112</v>
      </c>
      <c r="R62" s="221">
        <f t="shared" si="22"/>
        <v>4325.9325273243858</v>
      </c>
      <c r="S62" s="221"/>
    </row>
    <row r="63" spans="3:19" ht="18" customHeight="1" thickBot="1" x14ac:dyDescent="0.5">
      <c r="C63" s="195">
        <v>15</v>
      </c>
      <c r="D63" s="198" t="s">
        <v>245</v>
      </c>
      <c r="E63" s="201" t="s">
        <v>246</v>
      </c>
      <c r="F63" s="201" t="s">
        <v>247</v>
      </c>
      <c r="G63" s="224"/>
      <c r="H63" s="193">
        <f t="shared" si="20"/>
        <v>1501</v>
      </c>
      <c r="I63" s="193">
        <f t="shared" si="20"/>
        <v>1502</v>
      </c>
      <c r="J63" s="193">
        <f t="shared" si="20"/>
        <v>1503</v>
      </c>
      <c r="K63" s="195">
        <v>15</v>
      </c>
      <c r="L63" s="198">
        <f>VLOOKUP(H63,Table2[[#Data],[#Totals],[Unit ]:[Price]],10,FALSE)</f>
        <v>19065224.316129919</v>
      </c>
      <c r="M63" s="201">
        <f>VLOOKUP(I63,Table2[[#Data],[#Totals],[Unit ]:[Price]],10,FALSE)</f>
        <v>17173966.508772478</v>
      </c>
      <c r="N63" s="201">
        <f>VLOOKUP(J63,Table2[[#Data],[#Totals],[Unit ]:[Price]],10,FALSE)</f>
        <v>17173966.508772478</v>
      </c>
      <c r="P63" s="221">
        <f t="shared" si="21"/>
        <v>53413157.333674878</v>
      </c>
      <c r="Q63" s="221">
        <f t="shared" si="23"/>
        <v>12615.625906112</v>
      </c>
      <c r="R63" s="221">
        <f t="shared" si="22"/>
        <v>4233.8888083069542</v>
      </c>
      <c r="S63" s="221"/>
    </row>
    <row r="64" spans="3:19" ht="18" customHeight="1" thickBot="1" x14ac:dyDescent="0.5">
      <c r="C64" s="195">
        <v>14</v>
      </c>
      <c r="D64" s="201" t="s">
        <v>248</v>
      </c>
      <c r="E64" s="201" t="s">
        <v>249</v>
      </c>
      <c r="F64" s="201" t="s">
        <v>250</v>
      </c>
      <c r="G64" s="224"/>
      <c r="H64" s="193">
        <f t="shared" si="20"/>
        <v>1401</v>
      </c>
      <c r="I64" s="193">
        <f t="shared" si="20"/>
        <v>1402</v>
      </c>
      <c r="J64" s="193">
        <f t="shared" si="20"/>
        <v>1403</v>
      </c>
      <c r="K64" s="195">
        <v>14</v>
      </c>
      <c r="L64" s="201">
        <f>VLOOKUP(H64,Table2[[#Data],[#Totals],[Unit ]:[Price]],10,FALSE)</f>
        <v>20464506.83474496</v>
      </c>
      <c r="M64" s="201">
        <f>VLOOKUP(I64,Table2[[#Data],[#Totals],[Unit ]:[Price]],10,FALSE)</f>
        <v>16768282.260533759</v>
      </c>
      <c r="N64" s="201">
        <f>VLOOKUP(J64,Table2[[#Data],[#Totals],[Unit ]:[Price]],10,FALSE)</f>
        <v>16768282.260533759</v>
      </c>
      <c r="P64" s="221">
        <f t="shared" si="21"/>
        <v>54001071.355812475</v>
      </c>
      <c r="Q64" s="221">
        <f t="shared" si="23"/>
        <v>12615.625906112</v>
      </c>
      <c r="R64" s="221">
        <f t="shared" si="22"/>
        <v>4280.4908577425485</v>
      </c>
      <c r="S64" s="221"/>
    </row>
    <row r="65" spans="3:19" ht="18" customHeight="1" thickBot="1" x14ac:dyDescent="0.5">
      <c r="C65" s="195">
        <v>13</v>
      </c>
      <c r="D65" s="201" t="s">
        <v>251</v>
      </c>
      <c r="E65" s="201" t="s">
        <v>252</v>
      </c>
      <c r="F65" s="201" t="s">
        <v>253</v>
      </c>
      <c r="G65" s="224"/>
      <c r="H65" s="193">
        <f t="shared" si="20"/>
        <v>1301</v>
      </c>
      <c r="I65" s="193">
        <f t="shared" si="20"/>
        <v>1302</v>
      </c>
      <c r="J65" s="193">
        <f t="shared" si="20"/>
        <v>1303</v>
      </c>
      <c r="K65" s="195">
        <v>13</v>
      </c>
      <c r="L65" s="201">
        <f>VLOOKUP(H65,Table2[[#Data],[#Totals],[Unit ]:[Price]],10,FALSE)</f>
        <v>19939775.890264321</v>
      </c>
      <c r="M65" s="201">
        <f>VLOOKUP(I65,Table2[[#Data],[#Totals],[Unit ]:[Price]],10,FALSE)</f>
        <v>16362598.012295039</v>
      </c>
      <c r="N65" s="201">
        <f>VLOOKUP(J65,Table2[[#Data],[#Totals],[Unit ]:[Price]],10,FALSE)</f>
        <v>16362598.012295039</v>
      </c>
      <c r="P65" s="221">
        <f t="shared" si="21"/>
        <v>52664971.9148544</v>
      </c>
      <c r="Q65" s="221">
        <f t="shared" si="23"/>
        <v>12615.625906112</v>
      </c>
      <c r="R65" s="221">
        <f t="shared" si="22"/>
        <v>4174.5825618798153</v>
      </c>
      <c r="S65" s="221"/>
    </row>
    <row r="66" spans="3:19" ht="18" customHeight="1" thickBot="1" x14ac:dyDescent="0.5">
      <c r="C66" s="195">
        <v>12</v>
      </c>
      <c r="D66" s="198" t="s">
        <v>254</v>
      </c>
      <c r="E66" s="201" t="s">
        <v>255</v>
      </c>
      <c r="F66" s="201" t="s">
        <v>256</v>
      </c>
      <c r="G66" s="224"/>
      <c r="H66" s="193">
        <f>H67+100</f>
        <v>1201</v>
      </c>
      <c r="I66" s="193">
        <f t="shared" ref="I66:J66" si="24">I67+100</f>
        <v>1202</v>
      </c>
      <c r="J66" s="193">
        <f t="shared" si="24"/>
        <v>1203</v>
      </c>
      <c r="K66" s="195">
        <v>12</v>
      </c>
      <c r="L66" s="198">
        <f>VLOOKUP(H66,Table2[[#Data],[#Totals],[Unit ]:[Price]],10,FALSE)</f>
        <v>18015762.427168641</v>
      </c>
      <c r="M66" s="201">
        <f>VLOOKUP(I66,Table2[[#Data],[#Totals],[Unit ]:[Price]],10,FALSE)</f>
        <v>15956913.764056319</v>
      </c>
      <c r="N66" s="201">
        <f>VLOOKUP(J66,Table2[[#Data],[#Totals],[Unit ]:[Price]],10,FALSE)</f>
        <v>15956913.764056319</v>
      </c>
      <c r="P66" s="221">
        <f t="shared" si="21"/>
        <v>49929589.95528128</v>
      </c>
      <c r="Q66" s="221">
        <f t="shared" si="23"/>
        <v>12615.625906112</v>
      </c>
      <c r="R66" s="221">
        <f t="shared" si="22"/>
        <v>3957.7576512546607</v>
      </c>
      <c r="S66" s="221"/>
    </row>
    <row r="67" spans="3:19" ht="18" customHeight="1" thickBot="1" x14ac:dyDescent="0.5">
      <c r="C67" s="195">
        <v>11</v>
      </c>
      <c r="D67" s="198" t="s">
        <v>257</v>
      </c>
      <c r="E67" s="198" t="s">
        <v>258</v>
      </c>
      <c r="F67" s="201" t="s">
        <v>259</v>
      </c>
      <c r="G67" s="224"/>
      <c r="H67" s="193">
        <f>H69+200</f>
        <v>1101</v>
      </c>
      <c r="I67" s="193">
        <f t="shared" ref="I67:J67" si="25">I69+200</f>
        <v>1102</v>
      </c>
      <c r="J67" s="193">
        <f t="shared" si="25"/>
        <v>1103</v>
      </c>
      <c r="K67" s="195">
        <v>11</v>
      </c>
      <c r="L67" s="198">
        <f>VLOOKUP(H67,Table2[[#Data],[#Totals],[Unit ]:[Price]],10,FALSE)</f>
        <v>18715403.68647616</v>
      </c>
      <c r="M67" s="198">
        <f>VLOOKUP(I67,Table2[[#Data],[#Totals],[Unit ]:[Price]],10,FALSE)</f>
        <v>13658036.357370239</v>
      </c>
      <c r="N67" s="201">
        <f>VLOOKUP(J67,Table2[[#Data],[#Totals],[Unit ]:[Price]],10,FALSE)</f>
        <v>13658036.357370239</v>
      </c>
      <c r="P67" s="221">
        <f t="shared" si="21"/>
        <v>46031476.401216641</v>
      </c>
      <c r="Q67" s="221">
        <f t="shared" si="23"/>
        <v>12615.625906112</v>
      </c>
      <c r="R67" s="221">
        <f t="shared" si="22"/>
        <v>3648.7667551171899</v>
      </c>
      <c r="S67" s="221"/>
    </row>
    <row r="68" spans="3:19" ht="18" customHeight="1" thickBot="1" x14ac:dyDescent="0.5">
      <c r="C68" s="195">
        <v>10</v>
      </c>
      <c r="D68" s="282" t="s">
        <v>260</v>
      </c>
      <c r="E68" s="283"/>
      <c r="F68" s="284"/>
      <c r="G68" s="215"/>
      <c r="K68" s="195">
        <v>10</v>
      </c>
      <c r="L68" s="282" t="s">
        <v>260</v>
      </c>
      <c r="M68" s="283"/>
      <c r="N68" s="284"/>
      <c r="P68" s="219"/>
      <c r="Q68" s="219"/>
      <c r="R68" s="219"/>
      <c r="S68" s="219"/>
    </row>
    <row r="69" spans="3:19" ht="18" customHeight="1" thickBot="1" x14ac:dyDescent="0.5">
      <c r="C69" s="195">
        <v>9</v>
      </c>
      <c r="D69" s="198" t="s">
        <v>261</v>
      </c>
      <c r="E69" s="201" t="s">
        <v>262</v>
      </c>
      <c r="F69" s="201" t="s">
        <v>263</v>
      </c>
      <c r="G69" s="224"/>
      <c r="H69" s="193">
        <f t="shared" ref="H69:J73" si="26">H70+100</f>
        <v>901</v>
      </c>
      <c r="I69" s="193">
        <f t="shared" si="26"/>
        <v>902</v>
      </c>
      <c r="J69" s="193">
        <f t="shared" si="26"/>
        <v>903</v>
      </c>
      <c r="K69" s="195">
        <v>9</v>
      </c>
      <c r="L69" s="198">
        <f>VLOOKUP(H69,Table2[[#Data],[#Totals],[Unit ]:[Price]],10,FALSE)</f>
        <v>17316121.167861119</v>
      </c>
      <c r="M69" s="201">
        <f>VLOOKUP(I69,Table2[[#Data],[#Totals],[Unit ]:[Price]],10,FALSE)</f>
        <v>15145545.267578879</v>
      </c>
      <c r="N69" s="201">
        <f>VLOOKUP(J69,Table2[[#Data],[#Totals],[Unit ]:[Price]],10,FALSE)</f>
        <v>15145545.267578879</v>
      </c>
      <c r="P69" s="221">
        <f t="shared" ref="P69:P75" si="27">L69+M69+N69</f>
        <v>47607211.703018874</v>
      </c>
      <c r="Q69" s="221">
        <f>Q67</f>
        <v>12615.625906112</v>
      </c>
      <c r="R69" s="221">
        <f t="shared" si="22"/>
        <v>3773.6702132197975</v>
      </c>
      <c r="S69" s="221"/>
    </row>
    <row r="70" spans="3:19" ht="18" customHeight="1" thickBot="1" x14ac:dyDescent="0.5">
      <c r="C70" s="195">
        <v>8</v>
      </c>
      <c r="D70" s="198" t="s">
        <v>264</v>
      </c>
      <c r="E70" s="198" t="s">
        <v>265</v>
      </c>
      <c r="F70" s="198" t="s">
        <v>266</v>
      </c>
      <c r="G70" s="225"/>
      <c r="H70" s="193">
        <f t="shared" si="26"/>
        <v>801</v>
      </c>
      <c r="I70" s="193">
        <f t="shared" si="26"/>
        <v>802</v>
      </c>
      <c r="J70" s="193">
        <f t="shared" si="26"/>
        <v>803</v>
      </c>
      <c r="K70" s="195">
        <v>8</v>
      </c>
      <c r="L70" s="198">
        <f>VLOOKUP(H70,Table2[[#Data],[#Totals],[Unit ]:[Price]],10,FALSE)</f>
        <v>17149254.028888125</v>
      </c>
      <c r="M70" s="198">
        <f>VLOOKUP(I70,Table2[[#Data],[#Totals],[Unit ]:[Price]],10,FALSE)</f>
        <v>12986147.103417825</v>
      </c>
      <c r="N70" s="198">
        <f>VLOOKUP(J70,Table2[[#Data],[#Totals],[Unit ]:[Price]],10,FALSE)</f>
        <v>12986147.103417825</v>
      </c>
      <c r="P70" s="221">
        <f t="shared" si="27"/>
        <v>43121548.235723779</v>
      </c>
      <c r="Q70" s="221">
        <f t="shared" si="23"/>
        <v>12615.625906112</v>
      </c>
      <c r="R70" s="221">
        <f t="shared" si="22"/>
        <v>3418.1061293861221</v>
      </c>
      <c r="S70" s="221"/>
    </row>
    <row r="71" spans="3:19" ht="18" customHeight="1" thickBot="1" x14ac:dyDescent="0.5">
      <c r="C71" s="195">
        <v>7</v>
      </c>
      <c r="D71" s="198" t="s">
        <v>267</v>
      </c>
      <c r="E71" s="198" t="s">
        <v>268</v>
      </c>
      <c r="F71" s="201" t="s">
        <v>269</v>
      </c>
      <c r="G71" s="224"/>
      <c r="H71" s="193">
        <f t="shared" si="26"/>
        <v>701</v>
      </c>
      <c r="I71" s="193">
        <f t="shared" si="26"/>
        <v>702</v>
      </c>
      <c r="J71" s="193">
        <f t="shared" si="26"/>
        <v>703</v>
      </c>
      <c r="K71" s="195">
        <v>7</v>
      </c>
      <c r="L71" s="198">
        <f>VLOOKUP(H71,Table2[[#Data],[#Totals],[Unit ]:[Price]],10,FALSE)</f>
        <v>16966300.53820736</v>
      </c>
      <c r="M71" s="198">
        <f>VLOOKUP(I71,Table2[[#Data],[#Totals],[Unit ]:[Price]],10,FALSE)</f>
        <v>12846667.860892799</v>
      </c>
      <c r="N71" s="201">
        <f>VLOOKUP(J71,Table2[[#Data],[#Totals],[Unit ]:[Price]],10,FALSE)</f>
        <v>12846667.860892799</v>
      </c>
      <c r="P71" s="221">
        <f t="shared" si="27"/>
        <v>42659636.259992957</v>
      </c>
      <c r="Q71" s="221">
        <f t="shared" si="23"/>
        <v>12615.625906112</v>
      </c>
      <c r="R71" s="221">
        <f t="shared" si="22"/>
        <v>3381.4918560105116</v>
      </c>
      <c r="S71" s="221"/>
    </row>
    <row r="72" spans="3:19" ht="18" customHeight="1" thickBot="1" x14ac:dyDescent="0.5">
      <c r="C72" s="195">
        <v>6</v>
      </c>
      <c r="D72" s="198" t="s">
        <v>270</v>
      </c>
      <c r="E72" s="201" t="s">
        <v>271</v>
      </c>
      <c r="F72" s="198" t="s">
        <v>272</v>
      </c>
      <c r="G72" s="225"/>
      <c r="H72" s="193">
        <f t="shared" si="26"/>
        <v>601</v>
      </c>
      <c r="I72" s="193">
        <f t="shared" si="26"/>
        <v>602</v>
      </c>
      <c r="J72" s="193">
        <f t="shared" si="26"/>
        <v>603</v>
      </c>
      <c r="K72" s="195">
        <v>6</v>
      </c>
      <c r="L72" s="198">
        <f>VLOOKUP(H72,Table2[[#Data],[#Totals],[Unit ]:[Price]],10,FALSE)</f>
        <v>16966300.53820736</v>
      </c>
      <c r="M72" s="201">
        <f>VLOOKUP(I72,Table2[[#Data],[#Totals],[Unit ]:[Price]],10,FALSE)</f>
        <v>13928492.522862719</v>
      </c>
      <c r="N72" s="198">
        <f>VLOOKUP(J72,Table2[[#Data],[#Totals],[Unit ]:[Price]],10,FALSE)</f>
        <v>13658036.357370239</v>
      </c>
      <c r="P72" s="221">
        <f t="shared" si="27"/>
        <v>44552829.418440312</v>
      </c>
      <c r="Q72" s="221">
        <f t="shared" si="23"/>
        <v>12615.625906112</v>
      </c>
      <c r="R72" s="221">
        <f t="shared" si="22"/>
        <v>3531.5591751064385</v>
      </c>
      <c r="S72" s="221"/>
    </row>
    <row r="73" spans="3:19" ht="18" customHeight="1" thickBot="1" x14ac:dyDescent="0.5">
      <c r="C73" s="195">
        <v>5</v>
      </c>
      <c r="D73" s="198" t="s">
        <v>273</v>
      </c>
      <c r="E73" s="198" t="s">
        <v>274</v>
      </c>
      <c r="F73" s="201" t="s">
        <v>275</v>
      </c>
      <c r="G73" s="224"/>
      <c r="H73" s="193">
        <f t="shared" si="26"/>
        <v>501</v>
      </c>
      <c r="I73" s="193">
        <f t="shared" si="26"/>
        <v>502</v>
      </c>
      <c r="J73" s="193">
        <f t="shared" si="26"/>
        <v>503</v>
      </c>
      <c r="K73" s="195">
        <v>5</v>
      </c>
      <c r="L73" s="198">
        <f>VLOOKUP(H73,Table2[[#Data],[#Totals],[Unit ]:[Price]],10,FALSE)</f>
        <v>15916838.64924608</v>
      </c>
      <c r="M73" s="198">
        <f>VLOOKUP(I73,Table2[[#Data],[#Totals],[Unit ]:[Price]],10,FALSE)</f>
        <v>12305756</v>
      </c>
      <c r="N73" s="201">
        <f>VLOOKUP(J73,Table2[[#Data],[#Totals],[Unit ]:[Price]],10,FALSE)</f>
        <v>12305755.999999998</v>
      </c>
      <c r="P73" s="221">
        <f t="shared" si="27"/>
        <v>40528350.649246082</v>
      </c>
      <c r="Q73" s="221">
        <f t="shared" si="23"/>
        <v>12615.625906112</v>
      </c>
      <c r="R73" s="221">
        <f t="shared" si="22"/>
        <v>3212.5517156949754</v>
      </c>
      <c r="S73" s="221"/>
    </row>
    <row r="74" spans="3:19" ht="18" customHeight="1" thickBot="1" x14ac:dyDescent="0.5">
      <c r="C74" s="195">
        <v>4</v>
      </c>
      <c r="D74" s="198" t="s">
        <v>276</v>
      </c>
      <c r="E74" s="199" t="s">
        <v>277</v>
      </c>
      <c r="F74" s="198" t="s">
        <v>278</v>
      </c>
      <c r="G74" s="225"/>
      <c r="H74" s="193">
        <f>H75+100</f>
        <v>401</v>
      </c>
      <c r="I74" s="193">
        <f>I75+100</f>
        <v>402</v>
      </c>
      <c r="J74" s="193">
        <f>J75+100</f>
        <v>403</v>
      </c>
      <c r="K74" s="195">
        <v>4</v>
      </c>
      <c r="L74" s="198">
        <f>VLOOKUP(H74,Table2[[#Data],[#Totals],[Unit ]:[Price]],10,FALSE)</f>
        <v>16266659.278899839</v>
      </c>
      <c r="M74" s="199">
        <f>VLOOKUP(I74,Table2[[#Data],[#Totals],[Unit ]:[Price]],10,FALSE)</f>
        <v>11433534</v>
      </c>
      <c r="N74" s="198">
        <f>VLOOKUP(J74,Table2[[#Data],[#Totals],[Unit ]:[Price]],10,FALSE)</f>
        <v>12035299</v>
      </c>
      <c r="P74" s="221">
        <f t="shared" si="27"/>
        <v>39735492.278899841</v>
      </c>
      <c r="Q74" s="221">
        <f t="shared" si="23"/>
        <v>12615.625906112</v>
      </c>
      <c r="R74" s="221">
        <f t="shared" si="22"/>
        <v>3149.7043884004875</v>
      </c>
      <c r="S74" s="221"/>
    </row>
    <row r="75" spans="3:19" ht="18" customHeight="1" thickBot="1" x14ac:dyDescent="0.5">
      <c r="C75" s="195">
        <v>3</v>
      </c>
      <c r="D75" s="198" t="s">
        <v>279</v>
      </c>
      <c r="E75" s="198" t="s">
        <v>280</v>
      </c>
      <c r="F75" s="198" t="s">
        <v>281</v>
      </c>
      <c r="G75" s="225"/>
      <c r="H75" s="193">
        <v>301</v>
      </c>
      <c r="I75" s="193">
        <v>302</v>
      </c>
      <c r="J75" s="193">
        <v>303</v>
      </c>
      <c r="K75" s="195">
        <v>3</v>
      </c>
      <c r="L75" s="198">
        <f>VLOOKUP(H75,Table2[[#Data],[#Totals],[Unit ]:[Price]],10,FALSE)</f>
        <v>15217197.389938559</v>
      </c>
      <c r="M75" s="198">
        <f>VLOOKUP(I75,Table2[[#Data],[#Totals],[Unit ]:[Price]],10,FALSE)</f>
        <v>11764843.198922878</v>
      </c>
      <c r="N75" s="198">
        <f>VLOOKUP(J75,Table2[[#Data],[#Totals],[Unit ]:[Price]],10,FALSE)</f>
        <v>11764843.198922878</v>
      </c>
      <c r="P75" s="221">
        <f t="shared" si="27"/>
        <v>38746883.787784316</v>
      </c>
      <c r="Q75" s="221">
        <f t="shared" si="23"/>
        <v>12615.625906112</v>
      </c>
      <c r="R75" s="221">
        <f t="shared" si="22"/>
        <v>3071.3405800192822</v>
      </c>
      <c r="S75" s="221"/>
    </row>
    <row r="76" spans="3:19" ht="18" customHeight="1" thickBot="1" x14ac:dyDescent="0.5">
      <c r="C76" s="195">
        <v>2</v>
      </c>
      <c r="D76" s="202"/>
      <c r="E76" s="203"/>
      <c r="F76" s="204"/>
      <c r="G76" s="226"/>
      <c r="K76" s="195">
        <v>2</v>
      </c>
      <c r="L76" s="202"/>
      <c r="M76" s="203"/>
      <c r="N76" s="204"/>
      <c r="P76" s="211"/>
      <c r="Q76" s="211"/>
      <c r="R76" s="211"/>
      <c r="S76" s="211"/>
    </row>
    <row r="77" spans="3:19" ht="18" customHeight="1" thickBot="1" x14ac:dyDescent="0.5">
      <c r="C77" s="195">
        <v>1</v>
      </c>
      <c r="D77" s="282" t="s">
        <v>282</v>
      </c>
      <c r="E77" s="283"/>
      <c r="F77" s="284"/>
      <c r="G77" s="215"/>
      <c r="K77" s="195">
        <v>1</v>
      </c>
      <c r="L77" s="282" t="s">
        <v>282</v>
      </c>
      <c r="M77" s="283"/>
      <c r="N77" s="284"/>
      <c r="P77" s="227" t="e">
        <f>SUM(P9:P75)</f>
        <v>#N/A</v>
      </c>
      <c r="Q77" s="227">
        <f>SUM(Q9:Q75)</f>
        <v>786873.39159430482</v>
      </c>
      <c r="R77" s="228" t="e">
        <f>P77/Q77</f>
        <v>#N/A</v>
      </c>
      <c r="S77" s="228"/>
    </row>
    <row r="78" spans="3:19" x14ac:dyDescent="0.45">
      <c r="C78" s="189"/>
    </row>
    <row r="79" spans="3:19" x14ac:dyDescent="0.45">
      <c r="C79" s="189"/>
    </row>
    <row r="80" spans="3:19" x14ac:dyDescent="0.45">
      <c r="C80" s="189"/>
    </row>
    <row r="81" spans="3:5" x14ac:dyDescent="0.45">
      <c r="C81" s="189"/>
      <c r="E81" s="205"/>
    </row>
    <row r="82" spans="3:5" x14ac:dyDescent="0.45">
      <c r="E82" s="206"/>
    </row>
    <row r="83" spans="3:5" x14ac:dyDescent="0.45">
      <c r="E83" s="206"/>
    </row>
    <row r="84" spans="3:5" x14ac:dyDescent="0.45">
      <c r="E84" s="206"/>
    </row>
    <row r="92" spans="3:5" x14ac:dyDescent="0.45">
      <c r="E92" s="207"/>
    </row>
    <row r="93" spans="3:5" x14ac:dyDescent="0.45">
      <c r="E93" s="207"/>
    </row>
    <row r="94" spans="3:5" x14ac:dyDescent="0.45">
      <c r="E94" s="208"/>
    </row>
  </sheetData>
  <mergeCells count="56">
    <mergeCell ref="D14:F14"/>
    <mergeCell ref="L14:N14"/>
    <mergeCell ref="M15:N15"/>
    <mergeCell ref="M16:N16"/>
    <mergeCell ref="M17:N17"/>
    <mergeCell ref="E15:F15"/>
    <mergeCell ref="E16:F16"/>
    <mergeCell ref="E17:F17"/>
    <mergeCell ref="D77:F77"/>
    <mergeCell ref="L77:N77"/>
    <mergeCell ref="E21:F21"/>
    <mergeCell ref="E22:F22"/>
    <mergeCell ref="E18:F18"/>
    <mergeCell ref="E19:F19"/>
    <mergeCell ref="D68:F68"/>
    <mergeCell ref="L68:N68"/>
    <mergeCell ref="A46:B46"/>
    <mergeCell ref="D46:F46"/>
    <mergeCell ref="L46:N46"/>
    <mergeCell ref="D47:F47"/>
    <mergeCell ref="L47:N47"/>
    <mergeCell ref="A44:B44"/>
    <mergeCell ref="A45:B45"/>
    <mergeCell ref="D28:F28"/>
    <mergeCell ref="L28:N28"/>
    <mergeCell ref="M22:N22"/>
    <mergeCell ref="S18:S19"/>
    <mergeCell ref="D20:F20"/>
    <mergeCell ref="L20:N20"/>
    <mergeCell ref="M19:N19"/>
    <mergeCell ref="M21:N21"/>
    <mergeCell ref="M18:N18"/>
    <mergeCell ref="S14:S15"/>
    <mergeCell ref="S16:S17"/>
    <mergeCell ref="P12:P13"/>
    <mergeCell ref="Q12:Q13"/>
    <mergeCell ref="R12:R13"/>
    <mergeCell ref="S12:S13"/>
    <mergeCell ref="D11:F11"/>
    <mergeCell ref="L11:N11"/>
    <mergeCell ref="D12:D13"/>
    <mergeCell ref="E12:F13"/>
    <mergeCell ref="L12:L13"/>
    <mergeCell ref="M12:N13"/>
    <mergeCell ref="S9:S10"/>
    <mergeCell ref="D2:F2"/>
    <mergeCell ref="L2:N2"/>
    <mergeCell ref="D4:F4"/>
    <mergeCell ref="L4:N4"/>
    <mergeCell ref="D5:F8"/>
    <mergeCell ref="L5:N8"/>
    <mergeCell ref="D9:F10"/>
    <mergeCell ref="L9:N10"/>
    <mergeCell ref="P9:P10"/>
    <mergeCell ref="Q9:Q10"/>
    <mergeCell ref="R9:R10"/>
  </mergeCells>
  <printOptions horizontalCentered="1" verticalCentered="1"/>
  <pageMargins left="0" right="0" top="0" bottom="0" header="0.31496062992125984" footer="0.31496062992125984"/>
  <pageSetup paperSize="8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Muraba Veil Sale Summary</vt:lpstr>
      <vt:lpstr>Muraba Unit Wise Details </vt:lpstr>
      <vt:lpstr>Building  Usman</vt:lpstr>
      <vt:lpstr>Launches Residences</vt:lpstr>
      <vt:lpstr>Launches   XL   SX   DX</vt:lpstr>
      <vt:lpstr>MV Building view</vt:lpstr>
      <vt:lpstr>'Building  Usman'!Print_Area</vt:lpstr>
      <vt:lpstr>'MV Building 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Khan</dc:creator>
  <cp:lastModifiedBy>Amir Khan</cp:lastModifiedBy>
  <dcterms:created xsi:type="dcterms:W3CDTF">2026-06-09T12:34:26Z</dcterms:created>
  <dcterms:modified xsi:type="dcterms:W3CDTF">2026-06-11T04:37:20Z</dcterms:modified>
</cp:coreProperties>
</file>